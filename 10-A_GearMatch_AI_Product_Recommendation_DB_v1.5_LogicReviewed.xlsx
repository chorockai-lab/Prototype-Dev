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5d8202408848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0faf1a310ac14d1c"/>
    <x:sheet xmlns:r="http://schemas.openxmlformats.org/officeDocument/2006/relationships" name="01_Product_Master" sheetId="2" r:id="R6ba0dd4d2501484c"/>
    <x:sheet xmlns:r="http://schemas.openxmlformats.org/officeDocument/2006/relationships" name="02_Recommendation_Attributes" sheetId="3" r:id="R38490cc916d0405d"/>
    <x:sheet xmlns:r="http://schemas.openxmlformats.org/officeDocument/2006/relationships" name="03_Product_Evidence" sheetId="4" r:id="R5dc94eeb20624445"/>
    <x:sheet xmlns:r="http://schemas.openxmlformats.org/officeDocument/2006/relationships" name="04_Controlled_Vocabulary" sheetId="5" r:id="Racdb3f9d96bb4e7d"/>
    <x:sheet xmlns:r="http://schemas.openxmlformats.org/officeDocument/2006/relationships" name="05_Score_Rubric" sheetId="6" r:id="R86949be38cf546ca"/>
    <x:sheet xmlns:r="http://schemas.openxmlformats.org/officeDocument/2006/relationships" name="06_QA" sheetId="7" r:id="R9d073151067a495b"/>
    <x:sheet xmlns:r="http://schemas.openxmlformats.org/officeDocument/2006/relationships" name="07_Change_Log" sheetId="8" r:id="Rbcd884d5a6f04f25"/>
    <x:sheet xmlns:r="http://schemas.openxmlformats.org/officeDocument/2006/relationships" name="08_Web_Review_Audit" sheetId="9" r:id="R7a24c7db50b041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&quot;원&quot;"/>
    <x:numFmt numFmtId="201" formatCode="yyyy-mm-dd"/>
    <x:numFmt numFmtId="202" formatCode="0%"/>
    <x:numFmt numFmtId="203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11827"/>
      <x:name val="Carlito"/>
    </x:font>
    <x:font>
      <x:sz val="11"/>
      <x:color rgb="FF11182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F3F4F6"/>
      </x:patternFill>
    </x:fill>
    <x:fill>
      <x:patternFill patternType="solid">
        <x:fgColor rgb="FFE5E7EB"/>
      </x:patternFill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8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6D28D9"/>
      </x:font>
      <x:fill>
        <x:patternFill>
          <x:bgColor rgb="FFEDE9FE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c2f8c8be094002" /><Relationship Type="http://schemas.openxmlformats.org/officeDocument/2006/relationships/theme" Target="/xl/theme/theme1.xml" Id="R6327916a02af4531" /><Relationship Type="http://schemas.microsoft.com/office/2022/11/relationships/FeaturePropertyBag" Target="/xl/featurePropertyBag/featurePropertyBag.xml" Id="R069c99c51b8843a0" /><Relationship Type="http://schemas.openxmlformats.org/officeDocument/2006/relationships/sharedStrings" Target="/xl/sharedStrings.xml" Id="Rcce7ddde03d24afc" /><Relationship Type="http://schemas.openxmlformats.org/officeDocument/2006/relationships/worksheet" Target="/xl/worksheets/sheet1.xml" Id="R0faf1a310ac14d1c" /><Relationship Type="http://schemas.openxmlformats.org/officeDocument/2006/relationships/worksheet" Target="/xl/worksheets/sheet2.xml" Id="R6ba0dd4d2501484c" /><Relationship Type="http://schemas.openxmlformats.org/officeDocument/2006/relationships/worksheet" Target="/xl/worksheets/sheet3.xml" Id="R38490cc916d0405d" /><Relationship Type="http://schemas.openxmlformats.org/officeDocument/2006/relationships/worksheet" Target="/xl/worksheets/sheet4.xml" Id="R5dc94eeb20624445" /><Relationship Type="http://schemas.openxmlformats.org/officeDocument/2006/relationships/worksheet" Target="/xl/worksheets/sheet5.xml" Id="Racdb3f9d96bb4e7d" /><Relationship Type="http://schemas.openxmlformats.org/officeDocument/2006/relationships/worksheet" Target="/xl/worksheets/sheet6.xml" Id="R86949be38cf546ca" /><Relationship Type="http://schemas.openxmlformats.org/officeDocument/2006/relationships/worksheet" Target="/xl/worksheets/sheet7.xml" Id="R9d073151067a495b" /><Relationship Type="http://schemas.openxmlformats.org/officeDocument/2006/relationships/worksheet" Target="/xl/worksheets/sheet8.xml" Id="Rbcd884d5a6f04f25" /><Relationship Type="http://schemas.openxmlformats.org/officeDocument/2006/relationships/worksheet" Target="/xl/worksheets/sheet9.xml" Id="R7a24c7db50b041f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00e8f396e494cf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VERIFIED Coverage by Primary Use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'00_README'!$A$13:$A$18</c:f>
              <c:strCache>
                <c:ptCount val="0"/>
              </c:strCache>
            </c:strRef>
          </c:cat>
          <c:val>
            <c:numRef>
              <c:f>'00_README'!$B$13:$B$18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0e8f396e494cfc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ductMasterTable" displayName="ProductMasterTable" ref="A1:X36" headerRowCount="1" totalsRowCount="0" totalsRowShown="0">
  <x:tableColumns count="24">
    <x:tableColumn id="1" name="product_id"/>
    <x:tableColumn id="2" name="brand"/>
    <x:tableColumn id="3" name="series"/>
    <x:tableColumn id="4" name="model"/>
    <x:tableColumn id="5" name="version"/>
    <x:tableColumn id="6" name="display_name"/>
    <x:tableColumn id="7" name="market"/>
    <x:tableColumn id="8" name="currency"/>
    <x:tableColumn id="9" name="msrp"/>
    <x:tableColumn id="10" name="price_raw"/>
    <x:tableColumn id="11" name="primary_use"/>
    <x:tableColumn id="12" name="secondary_uses"/>
    <x:tableColumn id="13" name="specialization"/>
    <x:tableColumn id="14" name="plate_type"/>
    <x:tableColumn id="15" name="source_index"/>
    <x:tableColumn id="16" name="source_category"/>
    <x:tableColumn id="17" name="recommendation_status"/>
    <x:tableColumn id="18" name="recommendation_eligible"/>
    <x:tableColumn id="19" name="calibration_set"/>
    <x:tableColumn id="20" name="official_product_url"/>
    <x:tableColumn id="21" name="image_source_url"/>
    <x:tableColumn id="22" name="source_verified_at"/>
    <x:tableColumn id="23" name="product_db_version"/>
    <x:tableColumn id="24" name="source_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commendationAttributesTable" displayName="RecommendationAttributesTable" ref="A1:O36" headerRowCount="1" totalsRowCount="0" totalsRowShown="0">
  <x:tableColumns count="15">
    <x:tableColumn id="1" name="product_id"/>
    <x:tableColumn id="2" name="display_name"/>
    <x:tableColumn id="3" name="daily"/>
    <x:tableColumn id="4" name="comfort"/>
    <x:tableColumn id="5" name="stability"/>
    <x:tableColumn id="6" name="responsiveness"/>
    <x:tableColumn id="7" name="long_run"/>
    <x:tableColumn id="8" name="speed"/>
    <x:tableColumn id="9" name="race"/>
    <x:tableColumn id="10" name="versatility"/>
    <x:tableColumn id="11" name="score_status"/>
    <x:tableColumn id="12" name="evidence_count"/>
    <x:tableColumn id="13" name="reviewed_at"/>
    <x:tableColumn id="14" name="reviewer"/>
    <x:tableColumn id="15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EvidenceTable" displayName="ProductEvidenceTable" ref="A1:M81" headerRowCount="1" totalsRowCount="0" totalsRowShown="0">
  <x:tableColumns count="13">
    <x:tableColumn id="1" name="product_id"/>
    <x:tableColumn id="2" name="display_name"/>
    <x:tableColumn id="3" name="attribute"/>
    <x:tableColumn id="4" name="raw_evidence"/>
    <x:tableColumn id="5" name="normalized_value"/>
    <x:tableColumn id="6" name="source_type"/>
    <x:tableColumn id="7" name="source_url"/>
    <x:tableColumn id="8" name="secondary_source_url"/>
    <x:tableColumn id="9" name="source_date"/>
    <x:tableColumn id="10" name="normalization_reason"/>
    <x:tableColumn id="11" name="reviewer"/>
    <x:tableColumn id="12" name="evidence_status"/>
    <x:tableColumn id="13" name="evidence_vers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trolledVocabularyTable" displayName="ControlledVocabularyTable" ref="A1:D31" headerRowCount="1" totalsRowCount="0" totalsRowShown="0">
  <x:tableColumns count="4">
    <x:tableColumn id="1" name="category"/>
    <x:tableColumn id="2" name="code"/>
    <x:tableColumn id="3" name="ko_label"/>
    <x:tableColumn id="4" name="defini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QATable" displayName="QATable" ref="A1:L9" headerRowCount="1" totalsRowCount="0" totalsRowShown="0">
  <x:tableColumns count="12">
    <x:tableColumn id="1" name="test_id"/>
    <x:tableColumn id="2" name="runner_type"/>
    <x:tableColumn id="3" name="experience"/>
    <x:tableColumn id="4" name="runs_per_week"/>
    <x:tableColumn id="5" name="weekly_distance"/>
    <x:tableColumn id="6" name="current_shoe"/>
    <x:tableColumn id="7" name="gear_need"/>
    <x:tableColumn id="8" name="priority"/>
    <x:tableColumn id="9" name="expected_directions"/>
    <x:tableColumn id="10" name="expected_behavior"/>
    <x:tableColumn id="11" name="test_status"/>
    <x:tableColumn id="12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hangeLogTable" displayName="ChangeLogTable" ref="A1:I4" headerRowCount="1" totalsRowCount="0" totalsRowShown="0">
  <x:tableColumns count="9">
    <x:tableColumn id="1" name="date"/>
    <x:tableColumn id="2" name="version"/>
    <x:tableColumn id="3" name="scope"/>
    <x:tableColumn id="4" name="item"/>
    <x:tableColumn id="5" name="field"/>
    <x:tableColumn id="6" name="before"/>
    <x:tableColumn id="7" name="after"/>
    <x:tableColumn id="8" name="reason"/>
    <x:tableColumn id="9" name="sour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WebReviewAuditTable" displayName="WebReviewAuditTable" ref="A1:L36" headerRowCount="1" totalsRowCount="0" totalsRowShown="0">
  <x:tableColumns count="12">
    <x:tableColumn id="1" name="product_id"/>
    <x:tableColumn id="2" name="display_name"/>
    <x:tableColumn id="3" name="reviewed_primary_use"/>
    <x:tableColumn id="4" name="reviewed_plate_type"/>
    <x:tableColumn id="5" name="review_source_1"/>
    <x:tableColumn id="6" name="review_source_2"/>
    <x:tableColumn id="7" name="review_consensus"/>
    <x:tableColumn id="8" name="audit_result"/>
    <x:tableColumn id="9" name="master_action"/>
    <x:tableColumn id="10" name="score_action"/>
    <x:tableColumn id="11" name="audit_date"/>
    <x:tableColumn id="12" name="audit_ver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0718e95bab94f0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751b88d63348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9154807c074c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03602013044b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26e8f9bd90d48d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f740f8d0f504b8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e839909925574c7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6d83c8ff033444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8" hidden="0" customWidth="1"/>
    <x:col min="4" max="4" width="22" hidden="0" customWidth="1"/>
    <x:col min="5" max="5" width="20" hidden="0" customWidth="1"/>
    <x:col min="6" max="6" width="18" hidden="0" customWidth="1"/>
    <x:col min="7" max="7" width="44" hidden="0" customWidth="1"/>
    <x:col min="8" max="8" width="42" hidden="0" customWidth="1"/>
  </x:cols>
  <x:sheetData>
    <x:row r="1" ht="24" customHeight="1">
      <x:c r="A1" s="28" t="str">
        <x:v>GearMatch AI · Product Recommendation DB v1.5</x:v>
      </x:c>
      <x:c r="B1" s="28"/>
      <x:c r="C1" s="28"/>
      <x:c r="D1" s="28"/>
      <x:c r="E1" s="28"/>
      <x:c r="F1" s="28"/>
      <x:c r="G1" s="28"/>
      <x:c r="H1" s="2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 ht="24" customHeight="1">
      <x:c r="A2" s="28"/>
      <x:c r="B2" s="28"/>
      <x:c r="C2" s="28"/>
      <x:c r="D2" s="28"/>
      <x:c r="E2" s="28"/>
      <x:c r="F2" s="28"/>
      <x:c r="G2" s="28"/>
      <x:c r="H2" s="2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 ht="24" customHeight="1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 ht="24" customHeight="1">
      <x:c r="A4" s="35" t="str">
        <x:v>현재 단계</x:v>
      </x:c>
      <x:c r="B4" s="49" t="str">
        <x:v>Calibration DB</x:v>
      </x:c>
      <x:c r="C4" s="48"/>
      <x:c r="D4" s="8" t="str">
        <x:v>KPI</x:v>
      </x:c>
      <x:c r="E4" s="8" t="str">
        <x:v>Value</x:v>
      </x:c>
      <x:c r="F4" s="48"/>
      <x:c r="G4" s="48"/>
      <x:c r="H4" s="48"/>
      <x:c r="I4" s="48"/>
      <x:c r="J4" s="48"/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 ht="24" customHeight="1">
      <x:c r="A5" s="35" t="str">
        <x:v>Product DB Version</x:v>
      </x:c>
      <x:c r="B5" s="49" t="str">
        <x:v>product_db_v1.5</x:v>
      </x:c>
      <x:c r="C5" s="48"/>
      <x:c r="D5" s="48" t="str">
        <x:v>총 정규화 Product</x:v>
      </x:c>
      <x:c r="E5" s="48" t="n">
        <x:f>COUNTA('01_Product_Master'!A2:A200)</x:f>
        <x:v>35</x:v>
      </x:c>
      <x:c r="F5" s="48"/>
      <x:c r="G5" s="48"/>
      <x:c r="H5" s="48"/>
      <x:c r="I5" s="48"/>
      <x:c r="J5" s="48"/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 ht="24" customHeight="1">
      <x:c r="A6" s="35" t="str">
        <x:v>Recommendation Rule</x:v>
      </x:c>
      <x:c r="B6" s="49" t="str">
        <x:v>gear_reco_v1.1</x:v>
      </x:c>
      <x:c r="C6" s="48"/>
      <x:c r="D6" s="48" t="str">
        <x:v>VERIFIED</x:v>
      </x:c>
      <x:c r="E6" s="48" t="n">
        <x:f>COUNTIF('01_Product_Master'!Q2:Q200,"VERIFIED")</x:f>
        <x:v>10</x:v>
      </x:c>
      <x:c r="F6" s="48"/>
      <x:c r="G6" s="48"/>
      <x:c r="H6" s="48"/>
      <x:c r="I6" s="48"/>
      <x:c r="J6" s="48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 ht="24" customHeight="1">
      <x:c r="A7" s="35" t="str">
        <x:v>Normalization Rule</x:v>
      </x:c>
      <x:c r="B7" s="49" t="str">
        <x:v>product_norm_v1.1</x:v>
      </x:c>
      <x:c r="C7" s="48"/>
      <x:c r="D7" s="48" t="str">
        <x:v>DRAFT</x:v>
      </x:c>
      <x:c r="E7" s="48" t="n">
        <x:f>COUNTIF('01_Product_Master'!Q2:Q200,"DRAFT")</x:f>
        <x:v>25</x:v>
      </x:c>
      <x:c r="F7" s="48"/>
      <x:c r="G7" s="48"/>
      <x:c r="H7" s="48"/>
      <x:c r="I7" s="48"/>
      <x:c r="J7" s="48"/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 ht="24" customHeight="1">
      <x:c r="A8" s="35" t="str">
        <x:v>기준 시장</x:v>
      </x:c>
      <x:c r="B8" s="49" t="str">
        <x:v>KR</x:v>
      </x:c>
      <x:c r="C8" s="48"/>
      <x:c r="D8" s="48" t="str">
        <x:v>Recommendation Eligible</x:v>
      </x:c>
      <x:c r="E8" s="48" t="n">
        <x:f>COUNTIF('01_Product_Master'!R2:R200,"TRUE")</x:f>
        <x:v>10</x:v>
      </x:c>
      <x:c r="F8" s="48"/>
      <x:c r="G8" s="48"/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 ht="24" customHeight="1">
      <x:c r="A9" s="35" t="str">
        <x:v>기준일</x:v>
      </x:c>
      <x:c r="B9" s="49" t="str">
        <x:v>2026-09-04</x:v>
      </x:c>
      <x:c r="C9" s="48"/>
      <x:c r="D9" s="48" t="str">
        <x:v>Calibration Score 완료</x:v>
      </x:c>
      <x:c r="E9" s="48" t="n">
        <x:f>COUNTIF('02_Recommendation_Attributes'!K2:K200,"RECALIBRATED_V1_1")</x:f>
        <x:v>10</x:v>
      </x:c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 ht="44" customHeight="1">
      <x:c r="A10" s="83" t="str">
        <x:v>가격 기준</x:v>
      </x:c>
      <x:c r="B10" s="84" t="str">
        <x:v>가격 필드는 숫자형 KRW만 사용 · 가격 범위는 최대값 적용 · 세일가는 제외 · 통화기호/원/쉼표/범위 텍스트 미사용</x:v>
      </x:c>
      <x:c r="C10" s="48"/>
      <x:c r="D10" s="48"/>
      <x:c r="E10" s="48"/>
      <x:c r="F10" s="48"/>
      <x:c r="G10" s="48"/>
      <x:c r="H10" s="48"/>
      <x:c r="I10" s="48"/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 ht="54" customHeight="1">
      <x:c r="A11" s="83" t="str">
        <x:v>웹 후기 재검증</x:v>
      </x:c>
      <x:c r="B11" s="84" t="str">
        <x:v>35개 전 제품 Web Audit 유지 · Logic Review 반영: EVO SL/Deviate Role 수정, Calibration 10개 재점수, Stability Direction Role Filter, Current Shoe Weight 20%, 추가 REVIEW_CONFLICT 3개</x:v>
      </x:c>
      <x:c r="C11" s="48"/>
      <x:c r="D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 ht="24" customHeight="1">
      <x:c r="A12" s="8" t="str">
        <x:v>Verified Coverage</x:v>
      </x:c>
      <x:c r="B12" s="8" t="str">
        <x:v>Count</x:v>
      </x:c>
      <x:c r="C12" s="8" t="str">
        <x:v>Launch Minimum</x:v>
      </x:c>
      <x:c r="D12" s="48"/>
      <x:c r="E12" s="8" t="str">
        <x:v>현재 판단</x:v>
      </x:c>
      <x:c r="F12" s="8" t="str">
        <x:v>상태</x:v>
      </x:c>
      <x:c r="G12" s="8" t="str">
        <x:v>의미</x:v>
      </x:c>
      <x:c r="H12" s="8" t="str">
        <x:v>다음 작업</x:v>
      </x:c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 ht="24" customHeight="1">
      <x:c r="A13" s="48" t="str">
        <x:v>DAILY</x:v>
      </x:c>
      <x:c r="B13" s="48" t="n">
        <x:f>COUNTIFS('01_Product_Master'!$K:$K,A13,'01_Product_Master'!$Q:$Q,"VERIFIED")</x:f>
        <x:v>2</x:v>
      </x:c>
      <x:c r="C13" s="48" t="n">
        <x:v>3</x:v>
      </x:c>
      <x:c r="D13" s="48"/>
      <x:c r="E13" s="49" t="str">
        <x:v>Calibration Set</x:v>
      </x:c>
      <x:c r="F13" s="49" t="str">
        <x:v>READY</x:v>
      </x:c>
      <x:c r="G13" s="49" t="str">
        <x:v>10개 모델의 8 Attribute 점수와 근거가 연결됨</x:v>
      </x:c>
      <x:c r="H13" s="49" t="str">
        <x:v>QA 후 Weight/Score 보정</x:v>
      </x:c>
      <x:c r="I13" s="48"/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 ht="24" customHeight="1">
      <x:c r="A14" s="48" t="str">
        <x:v>CUSHION_LONG</x:v>
      </x:c>
      <x:c r="B14" s="48" t="n">
        <x:f>COUNTIFS('01_Product_Master'!$K:$K,A14,'01_Product_Master'!$Q:$Q,"VERIFIED")</x:f>
        <x:v>2</x:v>
      </x:c>
      <x:c r="C14" s="48" t="n">
        <x:v>3</x:v>
      </x:c>
      <x:c r="D14" s="48"/>
      <x:c r="E14" s="49" t="str">
        <x:v>MVP Release DB</x:v>
      </x:c>
      <x:c r="F14" s="49" t="str">
        <x:v>NOT READY</x:v>
      </x:c>
      <x:c r="G14" s="49" t="str">
        <x:v>Role별 VERIFIED 3개 이상 기준 미충족</x:v>
      </x:c>
      <x:c r="H14" s="49" t="str">
        <x:v>추가 15~25개 제품 검증</x:v>
      </x:c>
      <x:c r="I14" s="48"/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 ht="24" customHeight="1">
      <x:c r="A15" s="48" t="str">
        <x:v>STABILITY</x:v>
      </x:c>
      <x:c r="B15" s="48" t="n">
        <x:f>COUNTIFS('01_Product_Master'!$K:$K,A15,'01_Product_Master'!$Q:$Q,"VERIFIED")</x:f>
        <x:v>1</x:v>
      </x:c>
      <x:c r="C15" s="48" t="n">
        <x:v>3</x:v>
      </x:c>
      <x:c r="D15" s="48"/>
      <x:c r="E15" s="49" t="str">
        <x:v>Source Traceability</x:v>
      </x:c>
      <x:c r="F15" s="49" t="str">
        <x:v>READY</x:v>
      </x:c>
      <x:c r="G15" s="49" t="str">
        <x:v>Score 근거 URL과 Normalization Reason 저장</x:v>
      </x:c>
      <x:c r="H15" s="49" t="str">
        <x:v>신규 제품도 동일 방식 유지</x:v>
      </x:c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 ht="24" customHeight="1">
      <x:c r="A16" s="48" t="str">
        <x:v>SPEED_TRAINING</x:v>
      </x:c>
      <x:c r="B16" s="48" t="n">
        <x:f>COUNTIFS('01_Product_Master'!$K:$K,A16,'01_Product_Master'!$Q:$Q,"VERIFIED")</x:f>
        <x:v>2</x:v>
      </x:c>
      <x:c r="C16" s="48" t="n">
        <x:v>3</x:v>
      </x:c>
      <x:c r="D16" s="48"/>
      <x:c r="E16" s="49" t="str">
        <x:v>AI Product Selection</x:v>
      </x:c>
      <x:c r="F16" s="49" t="str">
        <x:v>PROHIBITED</x:v>
      </x:c>
      <x:c r="G16" s="49" t="str">
        <x:v>LLM은 제품 선정/재정렬 금지</x:v>
      </x:c>
      <x:c r="H16" s="49" t="str">
        <x:v>Engine 결과만 설명</x:v>
      </x:c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 ht="24" customHeight="1">
      <x:c r="A17" s="48" t="str">
        <x:v>SUPER_TRAINER</x:v>
      </x:c>
      <x:c r="B17" s="48" t="n">
        <x:f>COUNTIFS('01_Product_Master'!$K:$K,A17,'01_Product_Master'!$Q:$Q,"VERIFIED")</x:f>
        <x:v>1</x:v>
      </x:c>
      <x:c r="C17" s="48" t="n">
        <x:v>3</x:v>
      </x:c>
      <x:c r="D17" s="48"/>
      <x:c r="E17" s="49" t="str">
        <x:v>Price in Score</x:v>
      </x:c>
      <x:c r="F17" s="49" t="str">
        <x:v>OFF</x:v>
      </x:c>
      <x:c r="G17" s="49" t="str">
        <x:v>가격은 추천점수에 미반영</x:v>
      </x:c>
      <x:c r="H17" s="49" t="str">
        <x:v>H5 Commerce 단계에서 별도 검토</x:v>
      </x:c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 ht="24" customHeight="1">
      <x:c r="A18" s="48" t="str">
        <x:v>RACE</x:v>
      </x:c>
      <x:c r="B18" s="48" t="n">
        <x:f>COUNTIFS('01_Product_Master'!$K:$K,A18,'01_Product_Master'!$Q:$Q,"VERIFIED")</x:f>
        <x:v>2</x:v>
      </x:c>
      <x:c r="C18" s="48" t="n">
        <x:v>3</x:v>
      </x:c>
      <x:c r="D18" s="48"/>
      <x:c r="E18" s="49" t="str">
        <x:v>Similarity in Score</x:v>
      </x:c>
      <x:c r="F18" s="49" t="str">
        <x:v>OFF</x:v>
      </x:c>
      <x:c r="G18" s="49" t="str">
        <x:v>Similar Runner는 v1.0 Score 미반영</x:v>
      </x:c>
      <x:c r="H18" s="49" t="str">
        <x:v>First-party evidence 축적 후 Version-up</x:v>
      </x:c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 ht="24" customHeight="1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 ht="24" customHeight="1">
      <x:c r="A20" s="48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 ht="24" customHeight="1">
      <x:c r="A21" s="50" t="str">
        <x:v>사용 방법
1) 01_Product_Master에서 제품 정규화·상태를 관리합니다.
2) 02_Recommendation_Attributes의 P0 Score는 VERIFIED 근거가 있을 때만 입력합니다.
3) 03_Product_Evidence에서 Score별 근거 URL과 정규화 이유를 추적합니다.
4) 05_Score_Rubric의 Weight/Direction/Penalty를 개발 Config와 동일하게 유지합니다.
5) 06_QA 시나리오를 통과한 뒤 DRAFT 제품을 VERIFIED로 승격합니다.</x:v>
      </x:c>
      <x:c r="B21" s="50"/>
      <x:c r="C21" s="50"/>
      <x:c r="D21" s="50"/>
      <x:c r="E21" s="50"/>
      <x:c r="F21" s="50"/>
      <x:c r="G21" s="50"/>
      <x:c r="H21" s="50"/>
      <x:c r="I21" s="48"/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 ht="24" customHeight="1">
      <x:c r="A22" s="50"/>
      <x:c r="B22" s="50"/>
      <x:c r="C22" s="50"/>
      <x:c r="D22" s="50"/>
      <x:c r="E22" s="50"/>
      <x:c r="F22" s="50"/>
      <x:c r="G22" s="50"/>
      <x:c r="H22" s="50"/>
      <x:c r="I22" s="48"/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 ht="24" customHeight="1">
      <x:c r="A23" s="50"/>
      <x:c r="B23" s="50"/>
      <x:c r="C23" s="50"/>
      <x:c r="D23" s="50"/>
      <x:c r="E23" s="50"/>
      <x:c r="F23" s="50"/>
      <x:c r="G23" s="50"/>
      <x:c r="H23" s="50"/>
      <x:c r="I23" s="48"/>
      <x:c r="J23" s="48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 ht="24" customHeight="1">
      <x:c r="A24" s="50"/>
      <x:c r="B24" s="50"/>
      <x:c r="C24" s="50"/>
      <x:c r="D24" s="50"/>
      <x:c r="E24" s="50"/>
      <x:c r="F24" s="50"/>
      <x:c r="G24" s="50"/>
      <x:c r="H24" s="50"/>
      <x:c r="I24" s="48"/>
      <x:c r="J24" s="48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 ht="24" customHeight="1">
      <x:c r="A25" s="48"/>
      <x:c r="B25" s="48"/>
      <x:c r="C25" s="48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 ht="24" customHeight="1">
      <x:c r="A26" s="48"/>
      <x:c r="B26" s="48"/>
      <x:c r="C26" s="48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 ht="24" customHeight="1">
      <x:c r="A27" s="48"/>
      <x:c r="B27" s="48"/>
      <x:c r="C27" s="48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 ht="24" customHeight="1">
      <x:c r="A28" s="48"/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 ht="24" customHeight="1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 ht="24" customHeight="1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48"/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48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48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48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48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48"/>
      <x:c r="B61" s="48"/>
      <x:c r="C61" s="48"/>
      <x:c r="D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48"/>
      <x:c r="B62" s="48"/>
      <x:c r="C62" s="48"/>
      <x:c r="D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48"/>
      <x:c r="B63" s="48"/>
      <x:c r="C63" s="48"/>
      <x:c r="D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48"/>
      <x:c r="B64" s="48"/>
      <x:c r="C64" s="48"/>
      <x:c r="D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48"/>
      <x:c r="B65" s="48"/>
      <x:c r="C65" s="48"/>
      <x:c r="D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48"/>
      <x:c r="B66" s="48"/>
      <x:c r="C66" s="48"/>
      <x:c r="D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48"/>
      <x:c r="B67" s="48"/>
      <x:c r="C67" s="48"/>
      <x:c r="D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48"/>
      <x:c r="B68" s="48"/>
      <x:c r="C68" s="48"/>
      <x:c r="D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48"/>
      <x:c r="B69" s="48"/>
      <x:c r="C69" s="48"/>
      <x:c r="D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48"/>
      <x:c r="B70" s="48"/>
      <x:c r="C70" s="48"/>
      <x:c r="D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48"/>
      <x:c r="B71" s="48"/>
      <x:c r="C71" s="48"/>
      <x:c r="D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48"/>
      <x:c r="B72" s="48"/>
      <x:c r="C72" s="48"/>
      <x:c r="D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48"/>
      <x:c r="B73" s="48"/>
      <x:c r="C73" s="48"/>
      <x:c r="D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48"/>
      <x:c r="B74" s="48"/>
      <x:c r="C74" s="48"/>
      <x:c r="D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48"/>
      <x:c r="B75" s="48"/>
      <x:c r="C75" s="48"/>
      <x:c r="D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48"/>
      <x:c r="B76" s="48"/>
      <x:c r="C76" s="48"/>
      <x:c r="D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48"/>
      <x:c r="B77" s="48"/>
      <x:c r="C77" s="48"/>
      <x:c r="D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48"/>
      <x:c r="B78" s="48"/>
      <x:c r="C78" s="48"/>
      <x:c r="D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48"/>
      <x:c r="B79" s="48"/>
      <x:c r="C79" s="48"/>
      <x:c r="D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48"/>
      <x:c r="B80" s="48"/>
      <x:c r="C80" s="48"/>
      <x:c r="D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48"/>
      <x:c r="B81" s="48"/>
      <x:c r="C81" s="48"/>
      <x:c r="D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48"/>
      <x:c r="B82" s="48"/>
      <x:c r="C82" s="48"/>
      <x:c r="D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48"/>
      <x:c r="B83" s="48"/>
      <x:c r="C83" s="48"/>
      <x:c r="D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48"/>
      <x:c r="B84" s="48"/>
      <x:c r="C84" s="48"/>
      <x:c r="D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48"/>
      <x:c r="B85" s="48"/>
      <x:c r="C85" s="48"/>
      <x:c r="D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48"/>
      <x:c r="B86" s="48"/>
      <x:c r="C86" s="48"/>
      <x:c r="D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48"/>
      <x:c r="B87" s="48"/>
      <x:c r="C87" s="48"/>
      <x:c r="D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48"/>
      <x:c r="B88" s="48"/>
      <x:c r="C88" s="48"/>
      <x:c r="D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48"/>
      <x:c r="B89" s="48"/>
      <x:c r="C89" s="48"/>
      <x:c r="D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48"/>
      <x:c r="B90" s="48"/>
      <x:c r="C90" s="48"/>
      <x:c r="D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48"/>
      <x:c r="B91" s="48"/>
      <x:c r="C91" s="48"/>
      <x:c r="D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48"/>
      <x:c r="B92" s="48"/>
      <x:c r="C92" s="48"/>
      <x:c r="D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48"/>
      <x:c r="B93" s="48"/>
      <x:c r="C93" s="48"/>
      <x:c r="D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48"/>
      <x:c r="B94" s="48"/>
      <x:c r="C94" s="48"/>
      <x:c r="D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48"/>
      <x:c r="B95" s="48"/>
      <x:c r="C95" s="48"/>
      <x:c r="D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48"/>
      <x:c r="B96" s="48"/>
      <x:c r="C96" s="48"/>
      <x:c r="D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48"/>
      <x:c r="B97" s="48"/>
      <x:c r="C97" s="48"/>
      <x:c r="D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48"/>
      <x:c r="B98" s="48"/>
      <x:c r="C98" s="48"/>
      <x:c r="D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48"/>
      <x:c r="B99" s="48"/>
      <x:c r="C99" s="48"/>
      <x:c r="D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48"/>
      <x:c r="B100" s="48"/>
      <x:c r="C100" s="48"/>
      <x:c r="D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48"/>
      <x:c r="B101" s="48"/>
      <x:c r="C101" s="48"/>
      <x:c r="D101" s="48"/>
      <x:c r="E101" s="48"/>
      <x:c r="F101" s="48"/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48"/>
      <x:c r="B102" s="48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48"/>
      <x:c r="B103" s="48"/>
      <x:c r="C103" s="48"/>
      <x:c r="D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48"/>
      <x:c r="B104" s="48"/>
      <x:c r="C104" s="48"/>
      <x:c r="D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48"/>
      <x:c r="B105" s="48"/>
      <x:c r="C105" s="48"/>
      <x:c r="D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48"/>
      <x:c r="B106" s="48"/>
      <x:c r="C106" s="48"/>
      <x:c r="D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48"/>
      <x:c r="B107" s="48"/>
      <x:c r="C107" s="48"/>
      <x:c r="D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48"/>
      <x:c r="B108" s="48"/>
      <x:c r="C108" s="48"/>
      <x:c r="D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48"/>
      <x:c r="B109" s="48"/>
      <x:c r="C109" s="48"/>
      <x:c r="D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48"/>
      <x:c r="B110" s="48"/>
      <x:c r="C110" s="48"/>
      <x:c r="D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48"/>
      <x:c r="B111" s="48"/>
      <x:c r="C111" s="48"/>
      <x:c r="D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48"/>
      <x:c r="B112" s="48"/>
      <x:c r="C112" s="48"/>
      <x:c r="D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48"/>
      <x:c r="B113" s="48"/>
      <x:c r="C113" s="48"/>
      <x:c r="D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48"/>
      <x:c r="B114" s="48"/>
      <x:c r="C114" s="48"/>
      <x:c r="D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48"/>
      <x:c r="B115" s="48"/>
      <x:c r="C115" s="48"/>
      <x:c r="D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48"/>
      <x:c r="B116" s="48"/>
      <x:c r="C116" s="48"/>
      <x:c r="D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48"/>
      <x:c r="B117" s="48"/>
      <x:c r="C117" s="48"/>
      <x:c r="D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48"/>
      <x:c r="B118" s="48"/>
      <x:c r="C118" s="48"/>
      <x:c r="D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48"/>
      <x:c r="B119" s="48"/>
      <x:c r="C119" s="48"/>
      <x:c r="D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48"/>
      <x:c r="B120" s="48"/>
      <x:c r="C120" s="48"/>
      <x:c r="D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  <x:row r="121">
      <x:c r="A121" s="48"/>
      <x:c r="B121" s="48"/>
      <x:c r="C121" s="48"/>
      <x:c r="D121" s="48"/>
      <x:c r="E121" s="48"/>
      <x:c r="F121" s="48"/>
      <x:c r="G121" s="48"/>
      <x:c r="H121" s="48"/>
      <x:c r="I121" s="48"/>
      <x:c r="J121" s="48"/>
      <x:c r="K121" s="48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8"/>
      <x:c r="Z121" s="48"/>
    </x:row>
    <x:row r="122">
      <x:c r="A122" s="48"/>
      <x:c r="B122" s="48"/>
      <x:c r="C122" s="48"/>
      <x:c r="D122" s="48"/>
      <x:c r="E122" s="48"/>
      <x:c r="F122" s="48"/>
      <x:c r="G122" s="48"/>
      <x:c r="H122" s="48"/>
      <x:c r="I122" s="48"/>
      <x:c r="J122" s="48"/>
      <x:c r="K122" s="48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8"/>
      <x:c r="Z122" s="48"/>
    </x:row>
    <x:row r="123">
      <x:c r="A123" s="48"/>
      <x:c r="B123" s="48"/>
      <x:c r="C123" s="48"/>
      <x:c r="D123" s="48"/>
      <x:c r="E123" s="48"/>
      <x:c r="F123" s="48"/>
      <x:c r="G123" s="48"/>
      <x:c r="H123" s="48"/>
      <x:c r="I123" s="48"/>
      <x:c r="J123" s="48"/>
      <x:c r="K123" s="48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8"/>
      <x:c r="Z123" s="48"/>
    </x:row>
    <x:row r="124">
      <x:c r="A124" s="48"/>
      <x:c r="B124" s="48"/>
      <x:c r="C124" s="48"/>
      <x:c r="D124" s="48"/>
      <x:c r="E124" s="48"/>
      <x:c r="F124" s="48"/>
      <x:c r="G124" s="48"/>
      <x:c r="H124" s="48"/>
      <x:c r="I124" s="48"/>
      <x:c r="J124" s="48"/>
      <x:c r="K124" s="48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8"/>
      <x:c r="Z124" s="48"/>
    </x:row>
    <x:row r="125">
      <x:c r="A125" s="48"/>
      <x:c r="B125" s="48"/>
      <x:c r="C125" s="48"/>
      <x:c r="D125" s="48"/>
      <x:c r="E125" s="48"/>
      <x:c r="F125" s="48"/>
      <x:c r="G125" s="48"/>
      <x:c r="H125" s="48"/>
      <x:c r="I125" s="48"/>
      <x:c r="J125" s="48"/>
      <x:c r="K125" s="48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8"/>
      <x:c r="X125" s="48"/>
      <x:c r="Y125" s="48"/>
      <x:c r="Z125" s="48"/>
    </x:row>
    <x:row r="126">
      <x:c r="A126" s="48"/>
      <x:c r="B126" s="48"/>
      <x:c r="C126" s="48"/>
      <x:c r="D126" s="48"/>
      <x:c r="E126" s="48"/>
      <x:c r="F126" s="48"/>
      <x:c r="G126" s="48"/>
      <x:c r="H126" s="48"/>
      <x:c r="I126" s="48"/>
      <x:c r="J126" s="48"/>
      <x:c r="K126" s="48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8"/>
      <x:c r="X126" s="48"/>
      <x:c r="Y126" s="48"/>
      <x:c r="Z126" s="48"/>
    </x:row>
    <x:row r="127">
      <x:c r="A127" s="48"/>
      <x:c r="B127" s="48"/>
      <x:c r="C127" s="48"/>
      <x:c r="D127" s="48"/>
      <x:c r="E127" s="48"/>
      <x:c r="F127" s="48"/>
      <x:c r="G127" s="48"/>
      <x:c r="H127" s="48"/>
      <x:c r="I127" s="48"/>
      <x:c r="J127" s="48"/>
      <x:c r="K127" s="48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8"/>
      <x:c r="X127" s="48"/>
      <x:c r="Y127" s="48"/>
      <x:c r="Z127" s="48"/>
    </x:row>
    <x:row r="128">
      <x:c r="A128" s="48"/>
      <x:c r="B128" s="48"/>
      <x:c r="C128" s="48"/>
      <x:c r="D128" s="48"/>
      <x:c r="E128" s="48"/>
      <x:c r="F128" s="48"/>
      <x:c r="G128" s="48"/>
      <x:c r="H128" s="48"/>
      <x:c r="I128" s="48"/>
      <x:c r="J128" s="48"/>
      <x:c r="K128" s="48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8"/>
      <x:c r="X128" s="48"/>
      <x:c r="Y128" s="48"/>
      <x:c r="Z128" s="48"/>
    </x:row>
    <x:row r="129">
      <x:c r="A129" s="48"/>
      <x:c r="B129" s="48"/>
      <x:c r="C129" s="48"/>
      <x:c r="D129" s="48"/>
      <x:c r="E129" s="48"/>
      <x:c r="F129" s="48"/>
      <x:c r="G129" s="48"/>
      <x:c r="H129" s="48"/>
      <x:c r="I129" s="48"/>
      <x:c r="J129" s="48"/>
      <x:c r="K129" s="48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8"/>
      <x:c r="X129" s="48"/>
      <x:c r="Y129" s="48"/>
      <x:c r="Z129" s="48"/>
    </x:row>
    <x:row r="130">
      <x:c r="A130" s="48"/>
      <x:c r="B130" s="48"/>
      <x:c r="C130" s="48"/>
      <x:c r="D130" s="48"/>
      <x:c r="E130" s="48"/>
      <x:c r="F130" s="48"/>
      <x:c r="G130" s="48"/>
      <x:c r="H130" s="48"/>
      <x:c r="I130" s="48"/>
      <x:c r="J130" s="48"/>
      <x:c r="K130" s="48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8"/>
      <x:c r="X130" s="48"/>
      <x:c r="Y130" s="48"/>
      <x:c r="Z130" s="48"/>
    </x:row>
    <x:row r="131">
      <x:c r="A131" s="48"/>
      <x:c r="B131" s="48"/>
      <x:c r="C131" s="48"/>
      <x:c r="D131" s="48"/>
      <x:c r="E131" s="48"/>
      <x:c r="F131" s="48"/>
      <x:c r="G131" s="48"/>
      <x:c r="H131" s="48"/>
      <x:c r="I131" s="48"/>
      <x:c r="J131" s="48"/>
      <x:c r="K131" s="48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8"/>
      <x:c r="X131" s="48"/>
      <x:c r="Y131" s="48"/>
      <x:c r="Z131" s="48"/>
    </x:row>
    <x:row r="132">
      <x:c r="A132" s="48"/>
      <x:c r="B132" s="48"/>
      <x:c r="C132" s="48"/>
      <x:c r="D132" s="48"/>
      <x:c r="E132" s="48"/>
      <x:c r="F132" s="48"/>
      <x:c r="G132" s="48"/>
      <x:c r="H132" s="48"/>
      <x:c r="I132" s="48"/>
      <x:c r="J132" s="48"/>
      <x:c r="K132" s="48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8"/>
      <x:c r="X132" s="48"/>
      <x:c r="Y132" s="48"/>
      <x:c r="Z132" s="48"/>
    </x:row>
    <x:row r="133">
      <x:c r="A133" s="48"/>
      <x:c r="B133" s="48"/>
      <x:c r="C133" s="48"/>
      <x:c r="D133" s="48"/>
      <x:c r="E133" s="48"/>
      <x:c r="F133" s="48"/>
      <x:c r="G133" s="48"/>
      <x:c r="H133" s="48"/>
      <x:c r="I133" s="48"/>
      <x:c r="J133" s="48"/>
      <x:c r="K133" s="48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8"/>
      <x:c r="X133" s="48"/>
      <x:c r="Y133" s="48"/>
      <x:c r="Z133" s="48"/>
    </x:row>
    <x:row r="134">
      <x:c r="A134" s="48"/>
      <x:c r="B134" s="48"/>
      <x:c r="C134" s="48"/>
      <x:c r="D134" s="48"/>
      <x:c r="E134" s="48"/>
      <x:c r="F134" s="48"/>
      <x:c r="G134" s="48"/>
      <x:c r="H134" s="48"/>
      <x:c r="I134" s="48"/>
      <x:c r="J134" s="48"/>
      <x:c r="K134" s="48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8"/>
      <x:c r="X134" s="48"/>
      <x:c r="Y134" s="48"/>
      <x:c r="Z134" s="48"/>
    </x:row>
    <x:row r="135">
      <x:c r="A135" s="48"/>
      <x:c r="B135" s="48"/>
      <x:c r="C135" s="48"/>
      <x:c r="D135" s="48"/>
      <x:c r="E135" s="48"/>
      <x:c r="F135" s="48"/>
      <x:c r="G135" s="48"/>
      <x:c r="H135" s="48"/>
      <x:c r="I135" s="48"/>
      <x:c r="J135" s="48"/>
      <x:c r="K135" s="48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8"/>
      <x:c r="X135" s="48"/>
      <x:c r="Y135" s="48"/>
      <x:c r="Z135" s="48"/>
    </x:row>
    <x:row r="136">
      <x:c r="A136" s="48"/>
      <x:c r="B136" s="48"/>
      <x:c r="C136" s="48"/>
      <x:c r="D136" s="48"/>
      <x:c r="E136" s="48"/>
      <x:c r="F136" s="48"/>
      <x:c r="G136" s="48"/>
      <x:c r="H136" s="48"/>
      <x:c r="I136" s="48"/>
      <x:c r="J136" s="48"/>
      <x:c r="K136" s="48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8"/>
      <x:c r="X136" s="48"/>
      <x:c r="Y136" s="48"/>
      <x:c r="Z136" s="48"/>
    </x:row>
    <x:row r="137">
      <x:c r="A137" s="48"/>
      <x:c r="B137" s="48"/>
      <x:c r="C137" s="48"/>
      <x:c r="D137" s="48"/>
      <x:c r="E137" s="48"/>
      <x:c r="F137" s="48"/>
      <x:c r="G137" s="48"/>
      <x:c r="H137" s="48"/>
      <x:c r="I137" s="48"/>
      <x:c r="J137" s="48"/>
      <x:c r="K137" s="48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8"/>
      <x:c r="X137" s="48"/>
      <x:c r="Y137" s="48"/>
      <x:c r="Z137" s="48"/>
    </x:row>
    <x:row r="138">
      <x:c r="A138" s="48"/>
      <x:c r="B138" s="48"/>
      <x:c r="C138" s="48"/>
      <x:c r="D138" s="48"/>
      <x:c r="E138" s="48"/>
      <x:c r="F138" s="48"/>
      <x:c r="G138" s="48"/>
      <x:c r="H138" s="48"/>
      <x:c r="I138" s="48"/>
      <x:c r="J138" s="48"/>
      <x:c r="K138" s="48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8"/>
      <x:c r="X138" s="48"/>
      <x:c r="Y138" s="48"/>
      <x:c r="Z138" s="48"/>
    </x:row>
    <x:row r="139">
      <x:c r="A139" s="48"/>
      <x:c r="B139" s="48"/>
      <x:c r="C139" s="48"/>
      <x:c r="D139" s="48"/>
      <x:c r="E139" s="48"/>
      <x:c r="F139" s="48"/>
      <x:c r="G139" s="48"/>
      <x:c r="H139" s="48"/>
      <x:c r="I139" s="48"/>
      <x:c r="J139" s="48"/>
      <x:c r="K139" s="48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8"/>
      <x:c r="X139" s="48"/>
      <x:c r="Y139" s="48"/>
      <x:c r="Z139" s="48"/>
    </x:row>
    <x:row r="140">
      <x:c r="A140" s="48"/>
      <x:c r="B140" s="48"/>
      <x:c r="C140" s="48"/>
      <x:c r="D140" s="48"/>
      <x:c r="E140" s="48"/>
      <x:c r="F140" s="48"/>
      <x:c r="G140" s="48"/>
      <x:c r="H140" s="48"/>
      <x:c r="I140" s="48"/>
      <x:c r="J140" s="48"/>
      <x:c r="K140" s="48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8"/>
      <x:c r="X140" s="48"/>
      <x:c r="Y140" s="48"/>
      <x:c r="Z140" s="48"/>
    </x:row>
    <x:row r="141">
      <x:c r="A141" s="48"/>
      <x:c r="B141" s="48"/>
      <x:c r="C141" s="48"/>
      <x:c r="D141" s="48"/>
      <x:c r="E141" s="48"/>
      <x:c r="F141" s="48"/>
      <x:c r="G141" s="48"/>
      <x:c r="H141" s="48"/>
      <x:c r="I141" s="48"/>
      <x:c r="J141" s="48"/>
      <x:c r="K141" s="48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8"/>
      <x:c r="X141" s="48"/>
      <x:c r="Y141" s="48"/>
      <x:c r="Z141" s="48"/>
    </x:row>
    <x:row r="142">
      <x:c r="A142" s="48"/>
      <x:c r="B142" s="48"/>
      <x:c r="C142" s="48"/>
      <x:c r="D142" s="48"/>
      <x:c r="E142" s="48"/>
      <x:c r="F142" s="48"/>
      <x:c r="G142" s="48"/>
      <x:c r="H142" s="48"/>
      <x:c r="I142" s="48"/>
      <x:c r="J142" s="48"/>
      <x:c r="K142" s="48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8"/>
      <x:c r="X142" s="48"/>
      <x:c r="Y142" s="48"/>
      <x:c r="Z142" s="48"/>
    </x:row>
    <x:row r="143">
      <x:c r="A143" s="48"/>
      <x:c r="B143" s="48"/>
      <x:c r="C143" s="48"/>
      <x:c r="D143" s="48"/>
      <x:c r="E143" s="48"/>
      <x:c r="F143" s="48"/>
      <x:c r="G143" s="48"/>
      <x:c r="H143" s="48"/>
      <x:c r="I143" s="48"/>
      <x:c r="J143" s="48"/>
      <x:c r="K143" s="48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8"/>
      <x:c r="X143" s="48"/>
      <x:c r="Y143" s="48"/>
      <x:c r="Z143" s="48"/>
    </x:row>
    <x:row r="144">
      <x:c r="A144" s="48"/>
      <x:c r="B144" s="48"/>
      <x:c r="C144" s="48"/>
      <x:c r="D144" s="48"/>
      <x:c r="E144" s="48"/>
      <x:c r="F144" s="48"/>
      <x:c r="G144" s="48"/>
      <x:c r="H144" s="48"/>
      <x:c r="I144" s="48"/>
      <x:c r="J144" s="48"/>
      <x:c r="K144" s="48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8"/>
      <x:c r="X144" s="48"/>
      <x:c r="Y144" s="48"/>
      <x:c r="Z144" s="48"/>
    </x:row>
    <x:row r="145">
      <x:c r="A145" s="48"/>
      <x:c r="B145" s="48"/>
      <x:c r="C145" s="48"/>
      <x:c r="D145" s="48"/>
      <x:c r="E145" s="48"/>
      <x:c r="F145" s="48"/>
      <x:c r="G145" s="48"/>
      <x:c r="H145" s="48"/>
      <x:c r="I145" s="48"/>
      <x:c r="J145" s="48"/>
      <x:c r="K145" s="48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8"/>
      <x:c r="X145" s="48"/>
      <x:c r="Y145" s="48"/>
      <x:c r="Z145" s="48"/>
    </x:row>
    <x:row r="146">
      <x:c r="A146" s="48"/>
      <x:c r="B146" s="48"/>
      <x:c r="C146" s="48"/>
      <x:c r="D146" s="48"/>
      <x:c r="E146" s="48"/>
      <x:c r="F146" s="48"/>
      <x:c r="G146" s="48"/>
      <x:c r="H146" s="48"/>
      <x:c r="I146" s="48"/>
      <x:c r="J146" s="48"/>
      <x:c r="K146" s="48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8"/>
      <x:c r="X146" s="48"/>
      <x:c r="Y146" s="48"/>
      <x:c r="Z146" s="48"/>
    </x:row>
    <x:row r="147">
      <x:c r="A147" s="48"/>
      <x:c r="B147" s="48"/>
      <x:c r="C147" s="48"/>
      <x:c r="D147" s="48"/>
      <x:c r="E147" s="48"/>
      <x:c r="F147" s="48"/>
      <x:c r="G147" s="48"/>
      <x:c r="H147" s="48"/>
      <x:c r="I147" s="48"/>
      <x:c r="J147" s="48"/>
      <x:c r="K147" s="48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8"/>
      <x:c r="X147" s="48"/>
      <x:c r="Y147" s="48"/>
      <x:c r="Z147" s="48"/>
    </x:row>
    <x:row r="148">
      <x:c r="A148" s="48"/>
      <x:c r="B148" s="48"/>
      <x:c r="C148" s="48"/>
      <x:c r="D148" s="48"/>
      <x:c r="E148" s="48"/>
      <x:c r="F148" s="48"/>
      <x:c r="G148" s="48"/>
      <x:c r="H148" s="48"/>
      <x:c r="I148" s="48"/>
      <x:c r="J148" s="48"/>
      <x:c r="K148" s="48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8"/>
      <x:c r="X148" s="48"/>
      <x:c r="Y148" s="48"/>
      <x:c r="Z148" s="48"/>
    </x:row>
    <x:row r="149">
      <x:c r="A149" s="48"/>
      <x:c r="B149" s="48"/>
      <x:c r="C149" s="48"/>
      <x:c r="D149" s="48"/>
      <x:c r="E149" s="48"/>
      <x:c r="F149" s="48"/>
      <x:c r="G149" s="48"/>
      <x:c r="H149" s="48"/>
      <x:c r="I149" s="48"/>
      <x:c r="J149" s="48"/>
      <x:c r="K149" s="48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8"/>
      <x:c r="X149" s="48"/>
      <x:c r="Y149" s="48"/>
      <x:c r="Z149" s="48"/>
    </x:row>
    <x:row r="150">
      <x:c r="A150" s="48"/>
      <x:c r="B150" s="48"/>
      <x:c r="C150" s="48"/>
      <x:c r="D150" s="48"/>
      <x:c r="E150" s="48"/>
      <x:c r="F150" s="48"/>
      <x:c r="G150" s="48"/>
      <x:c r="H150" s="48"/>
      <x:c r="I150" s="48"/>
      <x:c r="J150" s="48"/>
      <x:c r="K150" s="48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8"/>
      <x:c r="X150" s="48"/>
      <x:c r="Y150" s="48"/>
      <x:c r="Z150" s="48"/>
    </x:row>
    <x:row r="151">
      <x:c r="A151" s="48"/>
      <x:c r="B151" s="48"/>
      <x:c r="C151" s="48"/>
      <x:c r="D151" s="48"/>
      <x:c r="E151" s="48"/>
      <x:c r="F151" s="48"/>
      <x:c r="G151" s="48"/>
      <x:c r="H151" s="48"/>
      <x:c r="I151" s="48"/>
      <x:c r="J151" s="48"/>
      <x:c r="K151" s="48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8"/>
      <x:c r="X151" s="48"/>
      <x:c r="Y151" s="48"/>
      <x:c r="Z151" s="48"/>
    </x:row>
    <x:row r="152">
      <x:c r="A152" s="48"/>
      <x:c r="B152" s="48"/>
      <x:c r="C152" s="48"/>
      <x:c r="D152" s="48"/>
      <x:c r="E152" s="48"/>
      <x:c r="F152" s="48"/>
      <x:c r="G152" s="48"/>
      <x:c r="H152" s="48"/>
      <x:c r="I152" s="48"/>
      <x:c r="J152" s="48"/>
      <x:c r="K152" s="48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8"/>
      <x:c r="X152" s="48"/>
      <x:c r="Y152" s="48"/>
      <x:c r="Z152" s="48"/>
    </x:row>
    <x:row r="153">
      <x:c r="A153" s="48"/>
      <x:c r="B153" s="48"/>
      <x:c r="C153" s="48"/>
      <x:c r="D153" s="48"/>
      <x:c r="E153" s="48"/>
      <x:c r="F153" s="48"/>
      <x:c r="G153" s="48"/>
      <x:c r="H153" s="48"/>
      <x:c r="I153" s="48"/>
      <x:c r="J153" s="48"/>
      <x:c r="K153" s="48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8"/>
      <x:c r="X153" s="48"/>
      <x:c r="Y153" s="48"/>
      <x:c r="Z153" s="48"/>
    </x:row>
    <x:row r="154">
      <x:c r="A154" s="48"/>
      <x:c r="B154" s="48"/>
      <x:c r="C154" s="48"/>
      <x:c r="D154" s="48"/>
      <x:c r="E154" s="48"/>
      <x:c r="F154" s="48"/>
      <x:c r="G154" s="48"/>
      <x:c r="H154" s="48"/>
      <x:c r="I154" s="48"/>
      <x:c r="J154" s="48"/>
      <x:c r="K154" s="48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8"/>
      <x:c r="X154" s="48"/>
      <x:c r="Y154" s="48"/>
      <x:c r="Z154" s="48"/>
    </x:row>
    <x:row r="155">
      <x:c r="A155" s="48"/>
      <x:c r="B155" s="48"/>
      <x:c r="C155" s="48"/>
      <x:c r="D155" s="48"/>
      <x:c r="E155" s="48"/>
      <x:c r="F155" s="48"/>
      <x:c r="G155" s="48"/>
      <x:c r="H155" s="48"/>
      <x:c r="I155" s="48"/>
      <x:c r="J155" s="48"/>
      <x:c r="K155" s="48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8"/>
      <x:c r="X155" s="48"/>
      <x:c r="Y155" s="48"/>
      <x:c r="Z155" s="48"/>
    </x:row>
    <x:row r="156">
      <x:c r="A156" s="48"/>
      <x:c r="B156" s="48"/>
      <x:c r="C156" s="48"/>
      <x:c r="D156" s="48"/>
      <x:c r="E156" s="48"/>
      <x:c r="F156" s="48"/>
      <x:c r="G156" s="48"/>
      <x:c r="H156" s="48"/>
      <x:c r="I156" s="48"/>
      <x:c r="J156" s="48"/>
      <x:c r="K156" s="48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8"/>
      <x:c r="X156" s="48"/>
      <x:c r="Y156" s="48"/>
      <x:c r="Z156" s="48"/>
    </x:row>
    <x:row r="157">
      <x:c r="A157" s="48"/>
      <x:c r="B157" s="48"/>
      <x:c r="C157" s="48"/>
      <x:c r="D157" s="48"/>
      <x:c r="E157" s="48"/>
      <x:c r="F157" s="48"/>
      <x:c r="G157" s="48"/>
      <x:c r="H157" s="48"/>
      <x:c r="I157" s="48"/>
      <x:c r="J157" s="48"/>
      <x:c r="K157" s="48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8"/>
      <x:c r="X157" s="48"/>
      <x:c r="Y157" s="48"/>
      <x:c r="Z157" s="48"/>
    </x:row>
    <x:row r="158">
      <x:c r="A158" s="48"/>
      <x:c r="B158" s="48"/>
      <x:c r="C158" s="48"/>
      <x:c r="D158" s="48"/>
      <x:c r="E158" s="48"/>
      <x:c r="F158" s="48"/>
      <x:c r="G158" s="48"/>
      <x:c r="H158" s="48"/>
      <x:c r="I158" s="48"/>
      <x:c r="J158" s="48"/>
      <x:c r="K158" s="48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8"/>
      <x:c r="X158" s="48"/>
      <x:c r="Y158" s="48"/>
      <x:c r="Z158" s="48"/>
    </x:row>
    <x:row r="159">
      <x:c r="A159" s="48"/>
      <x:c r="B159" s="48"/>
      <x:c r="C159" s="48"/>
      <x:c r="D159" s="48"/>
      <x:c r="E159" s="48"/>
      <x:c r="F159" s="48"/>
      <x:c r="G159" s="48"/>
      <x:c r="H159" s="48"/>
      <x:c r="I159" s="48"/>
      <x:c r="J159" s="48"/>
      <x:c r="K159" s="48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8"/>
      <x:c r="X159" s="48"/>
      <x:c r="Y159" s="48"/>
      <x:c r="Z159" s="48"/>
    </x:row>
    <x:row r="160">
      <x:c r="A160" s="48"/>
      <x:c r="B160" s="48"/>
      <x:c r="C160" s="48"/>
      <x:c r="D160" s="48"/>
      <x:c r="E160" s="48"/>
      <x:c r="F160" s="48"/>
      <x:c r="G160" s="48"/>
      <x:c r="H160" s="48"/>
      <x:c r="I160" s="48"/>
      <x:c r="J160" s="48"/>
      <x:c r="K160" s="48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8"/>
      <x:c r="X160" s="48"/>
      <x:c r="Y160" s="48"/>
      <x:c r="Z160" s="48"/>
    </x:row>
    <x:row r="161">
      <x:c r="A161" s="48"/>
      <x:c r="B161" s="48"/>
      <x:c r="C161" s="48"/>
      <x:c r="D161" s="48"/>
      <x:c r="E161" s="48"/>
      <x:c r="F161" s="48"/>
      <x:c r="G161" s="48"/>
      <x:c r="H161" s="48"/>
      <x:c r="I161" s="48"/>
      <x:c r="J161" s="48"/>
      <x:c r="K161" s="48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8"/>
      <x:c r="X161" s="48"/>
      <x:c r="Y161" s="48"/>
      <x:c r="Z161" s="48"/>
    </x:row>
    <x:row r="162">
      <x:c r="A162" s="48"/>
      <x:c r="B162" s="48"/>
      <x:c r="C162" s="48"/>
      <x:c r="D162" s="48"/>
      <x:c r="E162" s="48"/>
      <x:c r="F162" s="48"/>
      <x:c r="G162" s="48"/>
      <x:c r="H162" s="48"/>
      <x:c r="I162" s="48"/>
      <x:c r="J162" s="48"/>
      <x:c r="K162" s="48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8"/>
      <x:c r="X162" s="48"/>
      <x:c r="Y162" s="48"/>
      <x:c r="Z162" s="48"/>
    </x:row>
    <x:row r="163">
      <x:c r="A163" s="48"/>
      <x:c r="B163" s="48"/>
      <x:c r="C163" s="48"/>
      <x:c r="D163" s="48"/>
      <x:c r="E163" s="48"/>
      <x:c r="F163" s="48"/>
      <x:c r="G163" s="48"/>
      <x:c r="H163" s="48"/>
      <x:c r="I163" s="48"/>
      <x:c r="J163" s="48"/>
      <x:c r="K163" s="48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8"/>
      <x:c r="X163" s="48"/>
      <x:c r="Y163" s="48"/>
      <x:c r="Z163" s="48"/>
    </x:row>
    <x:row r="164">
      <x:c r="A164" s="48"/>
      <x:c r="B164" s="48"/>
      <x:c r="C164" s="48"/>
      <x:c r="D164" s="48"/>
      <x:c r="E164" s="48"/>
      <x:c r="F164" s="48"/>
      <x:c r="G164" s="48"/>
      <x:c r="H164" s="48"/>
      <x:c r="I164" s="48"/>
      <x:c r="J164" s="48"/>
      <x:c r="K164" s="48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8"/>
      <x:c r="X164" s="48"/>
      <x:c r="Y164" s="48"/>
      <x:c r="Z164" s="48"/>
    </x:row>
    <x:row r="165">
      <x:c r="A165" s="48"/>
      <x:c r="B165" s="48"/>
      <x:c r="C165" s="48"/>
      <x:c r="D165" s="48"/>
      <x:c r="E165" s="48"/>
      <x:c r="F165" s="48"/>
      <x:c r="G165" s="48"/>
      <x:c r="H165" s="48"/>
      <x:c r="I165" s="48"/>
      <x:c r="J165" s="48"/>
      <x:c r="K165" s="48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8"/>
      <x:c r="X165" s="48"/>
      <x:c r="Y165" s="48"/>
      <x:c r="Z165" s="48"/>
    </x:row>
    <x:row r="166">
      <x:c r="A166" s="48"/>
      <x:c r="B166" s="48"/>
      <x:c r="C166" s="48"/>
      <x:c r="D166" s="48"/>
      <x:c r="E166" s="48"/>
      <x:c r="F166" s="48"/>
      <x:c r="G166" s="48"/>
      <x:c r="H166" s="48"/>
      <x:c r="I166" s="48"/>
      <x:c r="J166" s="48"/>
      <x:c r="K166" s="48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8"/>
      <x:c r="X166" s="48"/>
      <x:c r="Y166" s="48"/>
      <x:c r="Z166" s="48"/>
    </x:row>
    <x:row r="167">
      <x:c r="A167" s="48"/>
      <x:c r="B167" s="48"/>
      <x:c r="C167" s="48"/>
      <x:c r="D167" s="48"/>
      <x:c r="E167" s="48"/>
      <x:c r="F167" s="48"/>
      <x:c r="G167" s="48"/>
      <x:c r="H167" s="48"/>
      <x:c r="I167" s="48"/>
      <x:c r="J167" s="48"/>
      <x:c r="K167" s="48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8"/>
      <x:c r="X167" s="48"/>
      <x:c r="Y167" s="48"/>
      <x:c r="Z167" s="48"/>
    </x:row>
    <x:row r="168">
      <x:c r="A168" s="48"/>
      <x:c r="B168" s="48"/>
      <x:c r="C168" s="48"/>
      <x:c r="D168" s="48"/>
      <x:c r="E168" s="48"/>
      <x:c r="F168" s="48"/>
      <x:c r="G168" s="48"/>
      <x:c r="H168" s="48"/>
      <x:c r="I168" s="48"/>
      <x:c r="J168" s="48"/>
      <x:c r="K168" s="48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8"/>
      <x:c r="X168" s="48"/>
      <x:c r="Y168" s="48"/>
      <x:c r="Z168" s="48"/>
    </x:row>
    <x:row r="169">
      <x:c r="A169" s="48"/>
      <x:c r="B169" s="48"/>
      <x:c r="C169" s="48"/>
      <x:c r="D169" s="48"/>
      <x:c r="E169" s="48"/>
      <x:c r="F169" s="48"/>
      <x:c r="G169" s="48"/>
      <x:c r="H169" s="48"/>
      <x:c r="I169" s="48"/>
      <x:c r="J169" s="48"/>
      <x:c r="K169" s="48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8"/>
      <x:c r="X169" s="48"/>
      <x:c r="Y169" s="48"/>
      <x:c r="Z169" s="48"/>
    </x:row>
    <x:row r="170">
      <x:c r="A170" s="48"/>
      <x:c r="B170" s="48"/>
      <x:c r="C170" s="48"/>
      <x:c r="D170" s="48"/>
      <x:c r="E170" s="48"/>
      <x:c r="F170" s="48"/>
      <x:c r="G170" s="48"/>
      <x:c r="H170" s="48"/>
      <x:c r="I170" s="48"/>
      <x:c r="J170" s="48"/>
      <x:c r="K170" s="48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8"/>
      <x:c r="X170" s="48"/>
      <x:c r="Y170" s="48"/>
      <x:c r="Z170" s="48"/>
    </x:row>
    <x:row r="171">
      <x:c r="A171" s="48"/>
      <x:c r="B171" s="48"/>
      <x:c r="C171" s="48"/>
      <x:c r="D171" s="48"/>
      <x:c r="E171" s="48"/>
      <x:c r="F171" s="48"/>
      <x:c r="G171" s="48"/>
      <x:c r="H171" s="48"/>
      <x:c r="I171" s="48"/>
      <x:c r="J171" s="48"/>
      <x:c r="K171" s="48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8"/>
      <x:c r="X171" s="48"/>
      <x:c r="Y171" s="48"/>
      <x:c r="Z171" s="48"/>
    </x:row>
    <x:row r="172">
      <x:c r="A172" s="48"/>
      <x:c r="B172" s="48"/>
      <x:c r="C172" s="48"/>
      <x:c r="D172" s="48"/>
      <x:c r="E172" s="48"/>
      <x:c r="F172" s="48"/>
      <x:c r="G172" s="48"/>
      <x:c r="H172" s="48"/>
      <x:c r="I172" s="48"/>
      <x:c r="J172" s="48"/>
      <x:c r="K172" s="48"/>
      <x:c r="L172" s="48"/>
      <x:c r="M172" s="48"/>
      <x:c r="N172" s="48"/>
      <x:c r="O172" s="48"/>
      <x:c r="P172" s="48"/>
      <x:c r="Q172" s="48"/>
      <x:c r="R172" s="48"/>
      <x:c r="S172" s="48"/>
      <x:c r="T172" s="48"/>
      <x:c r="U172" s="48"/>
      <x:c r="V172" s="48"/>
      <x:c r="W172" s="48"/>
      <x:c r="X172" s="48"/>
      <x:c r="Y172" s="48"/>
      <x:c r="Z172" s="48"/>
    </x:row>
    <x:row r="173">
      <x:c r="A173" s="48"/>
      <x:c r="B173" s="48"/>
      <x:c r="C173" s="48"/>
      <x:c r="D173" s="48"/>
      <x:c r="E173" s="48"/>
      <x:c r="F173" s="48"/>
      <x:c r="G173" s="48"/>
      <x:c r="H173" s="48"/>
      <x:c r="I173" s="48"/>
      <x:c r="J173" s="48"/>
      <x:c r="K173" s="48"/>
      <x:c r="L173" s="48"/>
      <x:c r="M173" s="48"/>
      <x:c r="N173" s="48"/>
      <x:c r="O173" s="48"/>
      <x:c r="P173" s="48"/>
      <x:c r="Q173" s="48"/>
      <x:c r="R173" s="48"/>
      <x:c r="S173" s="48"/>
      <x:c r="T173" s="48"/>
      <x:c r="U173" s="48"/>
      <x:c r="V173" s="48"/>
      <x:c r="W173" s="48"/>
      <x:c r="X173" s="48"/>
      <x:c r="Y173" s="48"/>
      <x:c r="Z173" s="48"/>
    </x:row>
    <x:row r="174">
      <x:c r="A174" s="48"/>
      <x:c r="B174" s="48"/>
      <x:c r="C174" s="48"/>
      <x:c r="D174" s="48"/>
      <x:c r="E174" s="48"/>
      <x:c r="F174" s="48"/>
      <x:c r="G174" s="48"/>
      <x:c r="H174" s="48"/>
      <x:c r="I174" s="48"/>
      <x:c r="J174" s="48"/>
      <x:c r="K174" s="48"/>
      <x:c r="L174" s="48"/>
      <x:c r="M174" s="48"/>
      <x:c r="N174" s="48"/>
      <x:c r="O174" s="48"/>
      <x:c r="P174" s="48"/>
      <x:c r="Q174" s="48"/>
      <x:c r="R174" s="48"/>
      <x:c r="S174" s="48"/>
      <x:c r="T174" s="48"/>
      <x:c r="U174" s="48"/>
      <x:c r="V174" s="48"/>
      <x:c r="W174" s="48"/>
      <x:c r="X174" s="48"/>
      <x:c r="Y174" s="48"/>
      <x:c r="Z174" s="48"/>
    </x:row>
    <x:row r="175">
      <x:c r="A175" s="48"/>
      <x:c r="B175" s="48"/>
      <x:c r="C175" s="48"/>
      <x:c r="D175" s="48"/>
      <x:c r="E175" s="48"/>
      <x:c r="F175" s="48"/>
      <x:c r="G175" s="48"/>
      <x:c r="H175" s="48"/>
      <x:c r="I175" s="48"/>
      <x:c r="J175" s="48"/>
      <x:c r="K175" s="48"/>
      <x:c r="L175" s="48"/>
      <x:c r="M175" s="48"/>
      <x:c r="N175" s="48"/>
      <x:c r="O175" s="48"/>
      <x:c r="P175" s="48"/>
      <x:c r="Q175" s="48"/>
      <x:c r="R175" s="48"/>
      <x:c r="S175" s="48"/>
      <x:c r="T175" s="48"/>
      <x:c r="U175" s="48"/>
      <x:c r="V175" s="48"/>
      <x:c r="W175" s="48"/>
      <x:c r="X175" s="48"/>
      <x:c r="Y175" s="48"/>
      <x:c r="Z175" s="48"/>
    </x:row>
    <x:row r="176">
      <x:c r="A176" s="48"/>
      <x:c r="B176" s="48"/>
      <x:c r="C176" s="48"/>
      <x:c r="D176" s="48"/>
      <x:c r="E176" s="48"/>
      <x:c r="F176" s="48"/>
      <x:c r="G176" s="48"/>
      <x:c r="H176" s="48"/>
      <x:c r="I176" s="48"/>
      <x:c r="J176" s="48"/>
      <x:c r="K176" s="48"/>
      <x:c r="L176" s="48"/>
      <x:c r="M176" s="48"/>
      <x:c r="N176" s="48"/>
      <x:c r="O176" s="48"/>
      <x:c r="P176" s="48"/>
      <x:c r="Q176" s="48"/>
      <x:c r="R176" s="48"/>
      <x:c r="S176" s="48"/>
      <x:c r="T176" s="48"/>
      <x:c r="U176" s="48"/>
      <x:c r="V176" s="48"/>
      <x:c r="W176" s="48"/>
      <x:c r="X176" s="48"/>
      <x:c r="Y176" s="48"/>
      <x:c r="Z176" s="48"/>
    </x:row>
    <x:row r="177">
      <x:c r="A177" s="48"/>
      <x:c r="B177" s="48"/>
      <x:c r="C177" s="48"/>
      <x:c r="D177" s="48"/>
      <x:c r="E177" s="48"/>
      <x:c r="F177" s="48"/>
      <x:c r="G177" s="48"/>
      <x:c r="H177" s="48"/>
      <x:c r="I177" s="48"/>
      <x:c r="J177" s="48"/>
      <x:c r="K177" s="48"/>
      <x:c r="L177" s="48"/>
      <x:c r="M177" s="48"/>
      <x:c r="N177" s="48"/>
      <x:c r="O177" s="48"/>
      <x:c r="P177" s="48"/>
      <x:c r="Q177" s="48"/>
      <x:c r="R177" s="48"/>
      <x:c r="S177" s="48"/>
      <x:c r="T177" s="48"/>
      <x:c r="U177" s="48"/>
      <x:c r="V177" s="48"/>
      <x:c r="W177" s="48"/>
      <x:c r="X177" s="48"/>
      <x:c r="Y177" s="48"/>
      <x:c r="Z177" s="48"/>
    </x:row>
    <x:row r="178">
      <x:c r="A178" s="48"/>
      <x:c r="B178" s="48"/>
      <x:c r="C178" s="48"/>
      <x:c r="D178" s="48"/>
      <x:c r="E178" s="48"/>
      <x:c r="F178" s="48"/>
      <x:c r="G178" s="48"/>
      <x:c r="H178" s="48"/>
      <x:c r="I178" s="48"/>
      <x:c r="J178" s="48"/>
      <x:c r="K178" s="48"/>
      <x:c r="L178" s="48"/>
      <x:c r="M178" s="48"/>
      <x:c r="N178" s="48"/>
      <x:c r="O178" s="48"/>
      <x:c r="P178" s="48"/>
      <x:c r="Q178" s="48"/>
      <x:c r="R178" s="48"/>
      <x:c r="S178" s="48"/>
      <x:c r="T178" s="48"/>
      <x:c r="U178" s="48"/>
      <x:c r="V178" s="48"/>
      <x:c r="W178" s="48"/>
      <x:c r="X178" s="48"/>
      <x:c r="Y178" s="48"/>
      <x:c r="Z178" s="48"/>
    </x:row>
    <x:row r="179">
      <x:c r="A179" s="48"/>
      <x:c r="B179" s="48"/>
      <x:c r="C179" s="48"/>
      <x:c r="D179" s="48"/>
      <x:c r="E179" s="48"/>
      <x:c r="F179" s="48"/>
      <x:c r="G179" s="48"/>
      <x:c r="H179" s="48"/>
      <x:c r="I179" s="48"/>
      <x:c r="J179" s="48"/>
      <x:c r="K179" s="48"/>
      <x:c r="L179" s="48"/>
      <x:c r="M179" s="48"/>
      <x:c r="N179" s="48"/>
      <x:c r="O179" s="48"/>
      <x:c r="P179" s="48"/>
      <x:c r="Q179" s="48"/>
      <x:c r="R179" s="48"/>
      <x:c r="S179" s="48"/>
      <x:c r="T179" s="48"/>
      <x:c r="U179" s="48"/>
      <x:c r="V179" s="48"/>
      <x:c r="W179" s="48"/>
      <x:c r="X179" s="48"/>
      <x:c r="Y179" s="48"/>
      <x:c r="Z179" s="48"/>
    </x:row>
    <x:row r="180">
      <x:c r="A180" s="48"/>
      <x:c r="B180" s="48"/>
      <x:c r="C180" s="48"/>
      <x:c r="D180" s="48"/>
      <x:c r="E180" s="48"/>
      <x:c r="F180" s="48"/>
      <x:c r="G180" s="48"/>
      <x:c r="H180" s="48"/>
      <x:c r="I180" s="48"/>
      <x:c r="J180" s="48"/>
      <x:c r="K180" s="48"/>
      <x:c r="L180" s="48"/>
      <x:c r="M180" s="48"/>
      <x:c r="N180" s="48"/>
      <x:c r="O180" s="48"/>
      <x:c r="P180" s="48"/>
      <x:c r="Q180" s="48"/>
      <x:c r="R180" s="48"/>
      <x:c r="S180" s="48"/>
      <x:c r="T180" s="48"/>
      <x:c r="U180" s="48"/>
      <x:c r="V180" s="48"/>
      <x:c r="W180" s="48"/>
      <x:c r="X180" s="48"/>
      <x:c r="Y180" s="48"/>
      <x:c r="Z180" s="48"/>
    </x:row>
    <x:row r="181">
      <x:c r="A181" s="48"/>
      <x:c r="B181" s="48"/>
      <x:c r="C181" s="48"/>
      <x:c r="D181" s="48"/>
      <x:c r="E181" s="48"/>
      <x:c r="F181" s="48"/>
      <x:c r="G181" s="48"/>
      <x:c r="H181" s="48"/>
      <x:c r="I181" s="48"/>
      <x:c r="J181" s="48"/>
      <x:c r="K181" s="48"/>
      <x:c r="L181" s="48"/>
      <x:c r="M181" s="48"/>
      <x:c r="N181" s="48"/>
      <x:c r="O181" s="48"/>
      <x:c r="P181" s="48"/>
      <x:c r="Q181" s="48"/>
      <x:c r="R181" s="48"/>
      <x:c r="S181" s="48"/>
      <x:c r="T181" s="48"/>
      <x:c r="U181" s="48"/>
      <x:c r="V181" s="48"/>
      <x:c r="W181" s="48"/>
      <x:c r="X181" s="48"/>
      <x:c r="Y181" s="48"/>
      <x:c r="Z181" s="48"/>
    </x:row>
    <x:row r="182">
      <x:c r="A182" s="48"/>
      <x:c r="B182" s="48"/>
      <x:c r="C182" s="48"/>
      <x:c r="D182" s="48"/>
      <x:c r="E182" s="48"/>
      <x:c r="F182" s="48"/>
      <x:c r="G182" s="48"/>
      <x:c r="H182" s="48"/>
      <x:c r="I182" s="48"/>
      <x:c r="J182" s="48"/>
      <x:c r="K182" s="48"/>
      <x:c r="L182" s="48"/>
      <x:c r="M182" s="48"/>
      <x:c r="N182" s="48"/>
      <x:c r="O182" s="48"/>
      <x:c r="P182" s="48"/>
      <x:c r="Q182" s="48"/>
      <x:c r="R182" s="48"/>
      <x:c r="S182" s="48"/>
      <x:c r="T182" s="48"/>
      <x:c r="U182" s="48"/>
      <x:c r="V182" s="48"/>
      <x:c r="W182" s="48"/>
      <x:c r="X182" s="48"/>
      <x:c r="Y182" s="48"/>
      <x:c r="Z182" s="48"/>
    </x:row>
    <x:row r="183">
      <x:c r="A183" s="48"/>
      <x:c r="B183" s="48"/>
      <x:c r="C183" s="48"/>
      <x:c r="D183" s="48"/>
      <x:c r="E183" s="48"/>
      <x:c r="F183" s="48"/>
      <x:c r="G183" s="48"/>
      <x:c r="H183" s="48"/>
      <x:c r="I183" s="48"/>
      <x:c r="J183" s="48"/>
      <x:c r="K183" s="48"/>
      <x:c r="L183" s="48"/>
      <x:c r="M183" s="48"/>
      <x:c r="N183" s="48"/>
      <x:c r="O183" s="48"/>
      <x:c r="P183" s="48"/>
      <x:c r="Q183" s="48"/>
      <x:c r="R183" s="48"/>
      <x:c r="S183" s="48"/>
      <x:c r="T183" s="48"/>
      <x:c r="U183" s="48"/>
      <x:c r="V183" s="48"/>
      <x:c r="W183" s="48"/>
      <x:c r="X183" s="48"/>
      <x:c r="Y183" s="48"/>
      <x:c r="Z183" s="48"/>
    </x:row>
    <x:row r="184">
      <x:c r="A184" s="48"/>
      <x:c r="B184" s="48"/>
      <x:c r="C184" s="48"/>
      <x:c r="D184" s="48"/>
      <x:c r="E184" s="48"/>
      <x:c r="F184" s="48"/>
      <x:c r="G184" s="48"/>
      <x:c r="H184" s="48"/>
      <x:c r="I184" s="48"/>
      <x:c r="J184" s="48"/>
      <x:c r="K184" s="48"/>
      <x:c r="L184" s="48"/>
      <x:c r="M184" s="48"/>
      <x:c r="N184" s="48"/>
      <x:c r="O184" s="48"/>
      <x:c r="P184" s="48"/>
      <x:c r="Q184" s="48"/>
      <x:c r="R184" s="48"/>
      <x:c r="S184" s="48"/>
      <x:c r="T184" s="48"/>
      <x:c r="U184" s="48"/>
      <x:c r="V184" s="48"/>
      <x:c r="W184" s="48"/>
      <x:c r="X184" s="48"/>
      <x:c r="Y184" s="48"/>
      <x:c r="Z184" s="48"/>
    </x:row>
    <x:row r="185">
      <x:c r="A185" s="48"/>
      <x:c r="B185" s="48"/>
      <x:c r="C185" s="48"/>
      <x:c r="D185" s="48"/>
      <x:c r="E185" s="48"/>
      <x:c r="F185" s="48"/>
      <x:c r="G185" s="48"/>
      <x:c r="H185" s="48"/>
      <x:c r="I185" s="48"/>
      <x:c r="J185" s="48"/>
      <x:c r="K185" s="48"/>
      <x:c r="L185" s="48"/>
      <x:c r="M185" s="48"/>
      <x:c r="N185" s="48"/>
      <x:c r="O185" s="48"/>
      <x:c r="P185" s="48"/>
      <x:c r="Q185" s="48"/>
      <x:c r="R185" s="48"/>
      <x:c r="S185" s="48"/>
      <x:c r="T185" s="48"/>
      <x:c r="U185" s="48"/>
      <x:c r="V185" s="48"/>
      <x:c r="W185" s="48"/>
      <x:c r="X185" s="48"/>
      <x:c r="Y185" s="48"/>
      <x:c r="Z185" s="48"/>
    </x:row>
    <x:row r="186">
      <x:c r="A186" s="48"/>
      <x:c r="B186" s="48"/>
      <x:c r="C186" s="48"/>
      <x:c r="D186" s="48"/>
      <x:c r="E186" s="48"/>
      <x:c r="F186" s="48"/>
      <x:c r="G186" s="48"/>
      <x:c r="H186" s="48"/>
      <x:c r="I186" s="48"/>
      <x:c r="J186" s="48"/>
      <x:c r="K186" s="48"/>
      <x:c r="L186" s="48"/>
      <x:c r="M186" s="48"/>
      <x:c r="N186" s="48"/>
      <x:c r="O186" s="48"/>
      <x:c r="P186" s="48"/>
      <x:c r="Q186" s="48"/>
      <x:c r="R186" s="48"/>
      <x:c r="S186" s="48"/>
      <x:c r="T186" s="48"/>
      <x:c r="U186" s="48"/>
      <x:c r="V186" s="48"/>
      <x:c r="W186" s="48"/>
      <x:c r="X186" s="48"/>
      <x:c r="Y186" s="48"/>
      <x:c r="Z186" s="48"/>
    </x:row>
    <x:row r="187">
      <x:c r="A187" s="48"/>
      <x:c r="B187" s="48"/>
      <x:c r="C187" s="48"/>
      <x:c r="D187" s="48"/>
      <x:c r="E187" s="48"/>
      <x:c r="F187" s="48"/>
      <x:c r="G187" s="48"/>
      <x:c r="H187" s="48"/>
      <x:c r="I187" s="48"/>
      <x:c r="J187" s="48"/>
      <x:c r="K187" s="48"/>
      <x:c r="L187" s="48"/>
      <x:c r="M187" s="48"/>
      <x:c r="N187" s="48"/>
      <x:c r="O187" s="48"/>
      <x:c r="P187" s="48"/>
      <x:c r="Q187" s="48"/>
      <x:c r="R187" s="48"/>
      <x:c r="S187" s="48"/>
      <x:c r="T187" s="48"/>
      <x:c r="U187" s="48"/>
      <x:c r="V187" s="48"/>
      <x:c r="W187" s="48"/>
      <x:c r="X187" s="48"/>
      <x:c r="Y187" s="48"/>
      <x:c r="Z187" s="48"/>
    </x:row>
    <x:row r="188">
      <x:c r="A188" s="48"/>
      <x:c r="B188" s="48"/>
      <x:c r="C188" s="48"/>
      <x:c r="D188" s="48"/>
      <x:c r="E188" s="48"/>
      <x:c r="F188" s="48"/>
      <x:c r="G188" s="48"/>
      <x:c r="H188" s="48"/>
      <x:c r="I188" s="48"/>
      <x:c r="J188" s="48"/>
      <x:c r="K188" s="48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  <x:c r="W188" s="48"/>
      <x:c r="X188" s="48"/>
      <x:c r="Y188" s="48"/>
      <x:c r="Z188" s="48"/>
    </x:row>
    <x:row r="189">
      <x:c r="A189" s="48"/>
      <x:c r="B189" s="48"/>
      <x:c r="C189" s="48"/>
      <x:c r="D189" s="48"/>
      <x:c r="E189" s="48"/>
      <x:c r="F189" s="48"/>
      <x:c r="G189" s="48"/>
      <x:c r="H189" s="48"/>
      <x:c r="I189" s="48"/>
      <x:c r="J189" s="48"/>
      <x:c r="K189" s="48"/>
      <x:c r="L189" s="48"/>
      <x:c r="M189" s="48"/>
      <x:c r="N189" s="48"/>
      <x:c r="O189" s="48"/>
      <x:c r="P189" s="48"/>
      <x:c r="Q189" s="48"/>
      <x:c r="R189" s="48"/>
      <x:c r="S189" s="48"/>
      <x:c r="T189" s="48"/>
      <x:c r="U189" s="48"/>
      <x:c r="V189" s="48"/>
      <x:c r="W189" s="48"/>
      <x:c r="X189" s="48"/>
      <x:c r="Y189" s="48"/>
      <x:c r="Z189" s="48"/>
    </x:row>
    <x:row r="190">
      <x:c r="A190" s="48"/>
      <x:c r="B190" s="48"/>
      <x:c r="C190" s="48"/>
      <x:c r="D190" s="48"/>
      <x:c r="E190" s="48"/>
      <x:c r="F190" s="48"/>
      <x:c r="G190" s="48"/>
      <x:c r="H190" s="48"/>
      <x:c r="I190" s="48"/>
      <x:c r="J190" s="48"/>
      <x:c r="K190" s="48"/>
      <x:c r="L190" s="48"/>
      <x:c r="M190" s="48"/>
      <x:c r="N190" s="48"/>
      <x:c r="O190" s="48"/>
      <x:c r="P190" s="48"/>
      <x:c r="Q190" s="48"/>
      <x:c r="R190" s="48"/>
      <x:c r="S190" s="48"/>
      <x:c r="T190" s="48"/>
      <x:c r="U190" s="48"/>
      <x:c r="V190" s="48"/>
      <x:c r="W190" s="48"/>
      <x:c r="X190" s="48"/>
      <x:c r="Y190" s="48"/>
      <x:c r="Z190" s="48"/>
    </x:row>
    <x:row r="191">
      <x:c r="A191" s="48"/>
      <x:c r="B191" s="48"/>
      <x:c r="C191" s="48"/>
      <x:c r="D191" s="48"/>
      <x:c r="E191" s="48"/>
      <x:c r="F191" s="48"/>
      <x:c r="G191" s="48"/>
      <x:c r="H191" s="48"/>
      <x:c r="I191" s="48"/>
      <x:c r="J191" s="48"/>
      <x:c r="K191" s="48"/>
      <x:c r="L191" s="48"/>
      <x:c r="M191" s="48"/>
      <x:c r="N191" s="48"/>
      <x:c r="O191" s="48"/>
      <x:c r="P191" s="48"/>
      <x:c r="Q191" s="48"/>
      <x:c r="R191" s="48"/>
      <x:c r="S191" s="48"/>
      <x:c r="T191" s="48"/>
      <x:c r="U191" s="48"/>
      <x:c r="V191" s="48"/>
      <x:c r="W191" s="48"/>
      <x:c r="X191" s="48"/>
      <x:c r="Y191" s="48"/>
      <x:c r="Z191" s="48"/>
    </x:row>
    <x:row r="192">
      <x:c r="A192" s="48"/>
      <x:c r="B192" s="48"/>
      <x:c r="C192" s="48"/>
      <x:c r="D192" s="48"/>
      <x:c r="E192" s="48"/>
      <x:c r="F192" s="48"/>
      <x:c r="G192" s="48"/>
      <x:c r="H192" s="48"/>
      <x:c r="I192" s="48"/>
      <x:c r="J192" s="48"/>
      <x:c r="K192" s="48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  <x:c r="W192" s="48"/>
      <x:c r="X192" s="48"/>
      <x:c r="Y192" s="48"/>
      <x:c r="Z192" s="48"/>
    </x:row>
    <x:row r="193">
      <x:c r="A193" s="48"/>
      <x:c r="B193" s="48"/>
      <x:c r="C193" s="48"/>
      <x:c r="D193" s="48"/>
      <x:c r="E193" s="48"/>
      <x:c r="F193" s="48"/>
      <x:c r="G193" s="48"/>
      <x:c r="H193" s="48"/>
      <x:c r="I193" s="48"/>
      <x:c r="J193" s="48"/>
      <x:c r="K193" s="48"/>
      <x:c r="L193" s="48"/>
      <x:c r="M193" s="48"/>
      <x:c r="N193" s="48"/>
      <x:c r="O193" s="48"/>
      <x:c r="P193" s="48"/>
      <x:c r="Q193" s="48"/>
      <x:c r="R193" s="48"/>
      <x:c r="S193" s="48"/>
      <x:c r="T193" s="48"/>
      <x:c r="U193" s="48"/>
      <x:c r="V193" s="48"/>
      <x:c r="W193" s="48"/>
      <x:c r="X193" s="48"/>
      <x:c r="Y193" s="48"/>
      <x:c r="Z193" s="48"/>
    </x:row>
    <x:row r="194">
      <x:c r="A194" s="48"/>
      <x:c r="B194" s="48"/>
      <x:c r="C194" s="48"/>
      <x:c r="D194" s="48"/>
      <x:c r="E194" s="48"/>
      <x:c r="F194" s="48"/>
      <x:c r="G194" s="48"/>
      <x:c r="H194" s="48"/>
      <x:c r="I194" s="48"/>
      <x:c r="J194" s="48"/>
      <x:c r="K194" s="48"/>
      <x:c r="L194" s="48"/>
      <x:c r="M194" s="48"/>
      <x:c r="N194" s="48"/>
      <x:c r="O194" s="48"/>
      <x:c r="P194" s="48"/>
      <x:c r="Q194" s="48"/>
      <x:c r="R194" s="48"/>
      <x:c r="S194" s="48"/>
      <x:c r="T194" s="48"/>
      <x:c r="U194" s="48"/>
      <x:c r="V194" s="48"/>
      <x:c r="W194" s="48"/>
      <x:c r="X194" s="48"/>
      <x:c r="Y194" s="48"/>
      <x:c r="Z194" s="48"/>
    </x:row>
    <x:row r="195">
      <x:c r="A195" s="48"/>
      <x:c r="B195" s="48"/>
      <x:c r="C195" s="48"/>
      <x:c r="D195" s="48"/>
      <x:c r="E195" s="48"/>
      <x:c r="F195" s="48"/>
      <x:c r="G195" s="48"/>
      <x:c r="H195" s="48"/>
      <x:c r="I195" s="48"/>
      <x:c r="J195" s="48"/>
      <x:c r="K195" s="48"/>
      <x:c r="L195" s="48"/>
      <x:c r="M195" s="48"/>
      <x:c r="N195" s="48"/>
      <x:c r="O195" s="48"/>
      <x:c r="P195" s="48"/>
      <x:c r="Q195" s="48"/>
      <x:c r="R195" s="48"/>
      <x:c r="S195" s="48"/>
      <x:c r="T195" s="48"/>
      <x:c r="U195" s="48"/>
      <x:c r="V195" s="48"/>
      <x:c r="W195" s="48"/>
      <x:c r="X195" s="48"/>
      <x:c r="Y195" s="48"/>
      <x:c r="Z195" s="48"/>
    </x:row>
    <x:row r="196">
      <x:c r="A196" s="48"/>
      <x:c r="B196" s="48"/>
      <x:c r="C196" s="48"/>
      <x:c r="D196" s="48"/>
      <x:c r="E196" s="48"/>
      <x:c r="F196" s="48"/>
      <x:c r="G196" s="48"/>
      <x:c r="H196" s="48"/>
      <x:c r="I196" s="48"/>
      <x:c r="J196" s="48"/>
      <x:c r="K196" s="48"/>
      <x:c r="L196" s="48"/>
      <x:c r="M196" s="48"/>
      <x:c r="N196" s="48"/>
      <x:c r="O196" s="48"/>
      <x:c r="P196" s="48"/>
      <x:c r="Q196" s="48"/>
      <x:c r="R196" s="48"/>
      <x:c r="S196" s="48"/>
      <x:c r="T196" s="48"/>
      <x:c r="U196" s="48"/>
      <x:c r="V196" s="48"/>
      <x:c r="W196" s="48"/>
      <x:c r="X196" s="48"/>
      <x:c r="Y196" s="48"/>
      <x:c r="Z196" s="48"/>
    </x:row>
    <x:row r="197">
      <x:c r="A197" s="48"/>
      <x:c r="B197" s="48"/>
      <x:c r="C197" s="48"/>
      <x:c r="D197" s="48"/>
      <x:c r="E197" s="48"/>
      <x:c r="F197" s="48"/>
      <x:c r="G197" s="48"/>
      <x:c r="H197" s="48"/>
      <x:c r="I197" s="48"/>
      <x:c r="J197" s="48"/>
      <x:c r="K197" s="48"/>
      <x:c r="L197" s="48"/>
      <x:c r="M197" s="48"/>
      <x:c r="N197" s="48"/>
      <x:c r="O197" s="48"/>
      <x:c r="P197" s="48"/>
      <x:c r="Q197" s="48"/>
      <x:c r="R197" s="48"/>
      <x:c r="S197" s="48"/>
      <x:c r="T197" s="48"/>
      <x:c r="U197" s="48"/>
      <x:c r="V197" s="48"/>
      <x:c r="W197" s="48"/>
      <x:c r="X197" s="48"/>
      <x:c r="Y197" s="48"/>
      <x:c r="Z197" s="48"/>
    </x:row>
    <x:row r="198">
      <x:c r="A198" s="48"/>
      <x:c r="B198" s="48"/>
      <x:c r="C198" s="48"/>
      <x:c r="D198" s="48"/>
      <x:c r="E198" s="48"/>
      <x:c r="F198" s="48"/>
      <x:c r="G198" s="48"/>
      <x:c r="H198" s="48"/>
      <x:c r="I198" s="48"/>
      <x:c r="J198" s="48"/>
      <x:c r="K198" s="48"/>
      <x:c r="L198" s="48"/>
      <x:c r="M198" s="48"/>
      <x:c r="N198" s="48"/>
      <x:c r="O198" s="48"/>
      <x:c r="P198" s="48"/>
      <x:c r="Q198" s="48"/>
      <x:c r="R198" s="48"/>
      <x:c r="S198" s="48"/>
      <x:c r="T198" s="48"/>
      <x:c r="U198" s="48"/>
      <x:c r="V198" s="48"/>
      <x:c r="W198" s="48"/>
      <x:c r="X198" s="48"/>
      <x:c r="Y198" s="48"/>
      <x:c r="Z198" s="48"/>
    </x:row>
    <x:row r="199">
      <x:c r="A199" s="48"/>
      <x:c r="B199" s="48"/>
      <x:c r="C199" s="48"/>
      <x:c r="D199" s="48"/>
      <x:c r="E199" s="48"/>
      <x:c r="F199" s="48"/>
      <x:c r="G199" s="48"/>
      <x:c r="H199" s="48"/>
      <x:c r="I199" s="48"/>
      <x:c r="J199" s="48"/>
      <x:c r="K199" s="48"/>
      <x:c r="L199" s="48"/>
      <x:c r="M199" s="48"/>
      <x:c r="N199" s="48"/>
      <x:c r="O199" s="48"/>
      <x:c r="P199" s="48"/>
      <x:c r="Q199" s="48"/>
      <x:c r="R199" s="48"/>
      <x:c r="S199" s="48"/>
      <x:c r="T199" s="48"/>
      <x:c r="U199" s="48"/>
      <x:c r="V199" s="48"/>
      <x:c r="W199" s="48"/>
      <x:c r="X199" s="48"/>
      <x:c r="Y199" s="48"/>
      <x:c r="Z199" s="48"/>
    </x:row>
    <x:row r="200">
      <x:c r="A200" s="48"/>
      <x:c r="B200" s="48"/>
      <x:c r="C200" s="48"/>
      <x:c r="D200" s="48"/>
      <x:c r="E200" s="48"/>
      <x:c r="F200" s="48"/>
      <x:c r="G200" s="48"/>
      <x:c r="H200" s="48"/>
      <x:c r="I200" s="48"/>
      <x:c r="J200" s="48"/>
      <x:c r="K200" s="48"/>
      <x:c r="L200" s="48"/>
      <x:c r="M200" s="48"/>
      <x:c r="N200" s="48"/>
      <x:c r="O200" s="48"/>
      <x:c r="P200" s="48"/>
      <x:c r="Q200" s="48"/>
      <x:c r="R200" s="48"/>
      <x:c r="S200" s="48"/>
      <x:c r="T200" s="48"/>
      <x:c r="U200" s="48"/>
      <x:c r="V200" s="48"/>
      <x:c r="W200" s="48"/>
      <x:c r="X200" s="48"/>
      <x:c r="Y200" s="48"/>
      <x:c r="Z200" s="48"/>
    </x:row>
  </x:sheetData>
  <x:mergeCells>
    <x:mergeCell ref="A1:H2"/>
    <x:mergeCell ref="A21:H24"/>
  </x:mergeCells>
  <x:pageMargins left="0.7" right="0.7" top="0.75" bottom="0.75" header="0.3" footer="0.3"/>
  <x:drawing xmlns:r="http://schemas.openxmlformats.org/officeDocument/2006/relationships" r:id="R10718e95bab94f0c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8" hidden="0" customWidth="1"/>
    <x:col min="4" max="4" width="23" hidden="0" customWidth="1"/>
    <x:col min="5" max="5" width="11" hidden="0" customWidth="1"/>
    <x:col min="6" max="6" width="34" hidden="0" customWidth="1"/>
    <x:col min="7" max="7" width="10" hidden="0" customWidth="1"/>
    <x:col min="8" max="8" width="10" hidden="0" customWidth="1"/>
    <x:col min="9" max="9" width="14" hidden="0" customWidth="1"/>
    <x:col min="10" max="10" width="22" hidden="0" customWidth="1"/>
    <x:col min="11" max="11" width="18" hidden="0" customWidth="1"/>
    <x:col min="12" max="12" width="28" hidden="0" customWidth="1"/>
    <x:col min="13" max="13" width="16" hidden="0" customWidth="1"/>
    <x:col min="14" max="14" width="16" hidden="0" customWidth="1"/>
    <x:col min="15" max="15" width="11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38" hidden="0" customWidth="1"/>
    <x:col min="21" max="21" width="38" hidden="0" customWidth="1"/>
    <x:col min="22" max="22" width="13" hidden="0" customWidth="1"/>
    <x:col min="23" max="23" width="18" hidden="0" customWidth="1"/>
    <x:col min="24" max="24" width="38" hidden="0" customWidth="1"/>
  </x:cols>
  <x:sheetData>
    <x:row r="1" ht="34" customHeight="1">
      <x:c r="A1" s="8" t="str">
        <x:v>product_id</x:v>
      </x:c>
      <x:c r="B1" s="8" t="str">
        <x:v>brand</x:v>
      </x:c>
      <x:c r="C1" s="8" t="str">
        <x:v>series</x:v>
      </x:c>
      <x:c r="D1" s="8" t="str">
        <x:v>model</x:v>
      </x:c>
      <x:c r="E1" s="8" t="str">
        <x:v>version</x:v>
      </x:c>
      <x:c r="F1" s="8" t="str">
        <x:v>display_name</x:v>
      </x:c>
      <x:c r="G1" s="8" t="str">
        <x:v>market</x:v>
      </x:c>
      <x:c r="H1" s="8" t="str">
        <x:v>currency</x:v>
      </x:c>
      <x:c r="I1" s="8" t="str">
        <x:v>official_msrp_krw</x:v>
      </x:c>
      <x:c r="J1" s="8" t="str">
        <x:v>source_price_reference_krw</x:v>
      </x:c>
      <x:c r="K1" s="8" t="str">
        <x:v>primary_use</x:v>
      </x:c>
      <x:c r="L1" s="8" t="str">
        <x:v>secondary_uses</x:v>
      </x:c>
      <x:c r="M1" s="8" t="str">
        <x:v>specialization</x:v>
      </x:c>
      <x:c r="N1" s="8" t="str">
        <x:v>plate_type</x:v>
      </x:c>
      <x:c r="O1" s="8" t="str">
        <x:v>source_index</x:v>
      </x:c>
      <x:c r="P1" s="8" t="str">
        <x:v>source_category</x:v>
      </x:c>
      <x:c r="Q1" s="8" t="str">
        <x:v>recommendation_status</x:v>
      </x:c>
      <x:c r="R1" s="8" t="str">
        <x:v>recommendation_eligible</x:v>
      </x:c>
      <x:c r="S1" s="8" t="str">
        <x:v>calibration_set</x:v>
      </x:c>
      <x:c r="T1" s="8" t="str">
        <x:v>official_product_url</x:v>
      </x:c>
      <x:c r="U1" s="8" t="str">
        <x:v>image_source_url</x:v>
      </x:c>
      <x:c r="V1" s="8" t="str">
        <x:v>source_verified_at</x:v>
      </x:c>
      <x:c r="W1" s="8" t="str">
        <x:v>product_db_version</x:v>
      </x:c>
      <x:c r="X1" s="8" t="str">
        <x:v>source_note</x:v>
      </x:c>
      <x:c r="Y1" s="48"/>
      <x:c r="Z1" s="48"/>
    </x:row>
    <x:row r="2" ht="34" customHeight="1">
      <x:c r="A2" s="49" t="str">
        <x:v>nike_pegasus_42</x:v>
      </x:c>
      <x:c r="B2" s="49" t="str">
        <x:v>Nike</x:v>
      </x:c>
      <x:c r="C2" s="49" t="str">
        <x:v>Pegasus</x:v>
      </x:c>
      <x:c r="D2" s="49" t="str">
        <x:v>Pegasus</x:v>
      </x:c>
      <x:c r="E2" s="49" t="str">
        <x:v>42</x:v>
      </x:c>
      <x:c r="F2" s="49" t="str">
        <x:v>Nike Pegasus 42</x:v>
      </x:c>
      <x:c r="G2" s="49" t="str">
        <x:v>KR</x:v>
      </x:c>
      <x:c r="H2" s="49" t="str">
        <x:v>KRW</x:v>
      </x:c>
      <x:c r="I2" s="70" t="n">
        <x:v>169000</x:v>
      </x:c>
      <x:c r="J2" s="70" t="n">
        <x:v>169000</x:v>
      </x:c>
      <x:c r="K2" s="49" t="str">
        <x:v>DAILY</x:v>
      </x:c>
      <x:c r="L2" s="49" t="str">
        <x:v>SPEED_TRAINING</x:v>
      </x:c>
      <x:c r="M2" s="49" t="str">
        <x:v>GENERAL</x:v>
      </x:c>
      <x:c r="N2" s="49" t="str">
        <x:v>NONE</x:v>
      </x:c>
      <x:c r="O2" s="49" t="n">
        <x:v>0</x:v>
      </x:c>
      <x:c r="P2" s="49" t="str">
        <x:v>데일리/올라운드</x:v>
      </x:c>
      <x:c r="Q2" s="49" t="str">
        <x:v>VERIFIED</x:v>
      </x:c>
      <x:c r="R2" s="49" t="str">
        <x:v>TRUE</x:v>
      </x:c>
      <x:c r="S2" s="55" t="b">
        <x:v>1</x:v>
      </x:c>
      <x:c r="T2" s="49" t="str">
        <x:v>https://www.nike.com/kr/w/pegasus-running-shoes-37v7jz8nexhzy7ok</x:v>
      </x:c>
      <x:c r="U2" s="49" t="str">
        <x:v>https://www.nike.com/kr/w/pegasus-running-shoes-37v7jz8nexhzy7ok</x:v>
      </x:c>
      <x:c r="V2" s="56" t="n">
        <x:v>46205</x:v>
      </x:c>
      <x:c r="W2" s="49" t="str">
        <x:v>product_db_v1.5</x:v>
      </x:c>
      <x:c r="X2" s="49" t="str">
        <x:v>나이키 대표 범용 라인.</x:v>
      </x:c>
      <x:c r="Y2" s="48"/>
      <x:c r="Z2" s="48"/>
    </x:row>
    <x:row r="3" ht="34" customHeight="1">
      <x:c r="A3" s="49" t="str">
        <x:v>nike_vomero_18</x:v>
      </x:c>
      <x:c r="B3" s="49" t="str">
        <x:v>Nike</x:v>
      </x:c>
      <x:c r="C3" s="49" t="str">
        <x:v>Vomero</x:v>
      </x:c>
      <x:c r="D3" s="49" t="str">
        <x:v>Vomero</x:v>
      </x:c>
      <x:c r="E3" s="49" t="str">
        <x:v>18</x:v>
      </x:c>
      <x:c r="F3" s="49" t="str">
        <x:v>Nike Vomero 18</x:v>
      </x:c>
      <x:c r="G3" s="49" t="str">
        <x:v>KR</x:v>
      </x:c>
      <x:c r="H3" s="49" t="str">
        <x:v>KRW</x:v>
      </x:c>
      <x:c r="I3" s="70" t="n">
        <x:v>189000</x:v>
      </x:c>
      <x:c r="J3" s="70" t="n">
        <x:v>189000</x:v>
      </x:c>
      <x:c r="K3" s="49" t="str">
        <x:v>CUSHION_LONG</x:v>
      </x:c>
      <x:c r="L3" s="49" t="str">
        <x:v>DAILY</x:v>
      </x:c>
      <x:c r="M3" s="49" t="str">
        <x:v>GENERAL</x:v>
      </x:c>
      <x:c r="N3" s="49" t="str">
        <x:v>NONE</x:v>
      </x:c>
      <x:c r="O3" s="49" t="n">
        <x:v>1</x:v>
      </x:c>
      <x:c r="P3" s="49" t="str">
        <x:v>쿠션/장거리</x:v>
      </x:c>
      <x:c r="Q3" s="49" t="str">
        <x:v>DRAFT</x:v>
      </x:c>
      <x:c r="R3" s="49" t="str">
        <x:v>FALSE</x:v>
      </x:c>
      <x:c r="S3" s="55" t="b">
        <x:v>0</x:v>
      </x:c>
      <x:c r="T3" s="49" t="str">
        <x:v>https://www.nike.com/kr/w/vomero-running-shoes-37v7jz7gee1zy7ok</x:v>
      </x:c>
      <x:c r="U3" s="49" t="str">
        <x:v>https://www.nike.com/kr/w/vomero-running-shoes-37v7jz7gee1zy7ok</x:v>
      </x:c>
      <x:c r="V3" s="56" t="n">
        <x:v>46205</x:v>
      </x:c>
      <x:c r="W3" s="49" t="str">
        <x:v>product_db_v1.5</x:v>
      </x:c>
      <x:c r="X3" s="49" t="str">
        <x:v>Multi-model source row에서 Vomero 18만 분리. Score 미검증.</x:v>
      </x:c>
      <x:c r="Y3" s="48"/>
      <x:c r="Z3" s="48"/>
    </x:row>
    <x:row r="4" ht="34" customHeight="1">
      <x:c r="A4" s="49" t="str">
        <x:v>nike_structure_26</x:v>
      </x:c>
      <x:c r="B4" s="49" t="str">
        <x:v>Nike</x:v>
      </x:c>
      <x:c r="C4" s="49" t="str">
        <x:v>Structure</x:v>
      </x:c>
      <x:c r="D4" s="49" t="str">
        <x:v>Structure</x:v>
      </x:c>
      <x:c r="E4" s="49" t="str">
        <x:v>26</x:v>
      </x:c>
      <x:c r="F4" s="49" t="str">
        <x:v>Nike Structure 26</x:v>
      </x:c>
      <x:c r="G4" s="49" t="str">
        <x:v>KR</x:v>
      </x:c>
      <x:c r="H4" s="49" t="str">
        <x:v>KRW</x:v>
      </x:c>
      <x:c r="I4" s="70" t="n">
        <x:v>169000</x:v>
      </x:c>
      <x:c r="J4" s="70" t="n">
        <x:v>169000</x:v>
      </x:c>
      <x:c r="K4" s="49" t="str">
        <x:v>STABILITY</x:v>
      </x:c>
      <x:c r="L4" s="49" t="str">
        <x:v>DAILY</x:v>
      </x:c>
      <x:c r="M4" s="49" t="str">
        <x:v>GENERAL</x:v>
      </x:c>
      <x:c r="N4" s="49" t="str">
        <x:v>NONE</x:v>
      </x:c>
      <x:c r="O4" s="49" t="n">
        <x:v>2</x:v>
      </x:c>
      <x:c r="P4" s="49" t="str">
        <x:v>안정화</x:v>
      </x:c>
      <x:c r="Q4" s="49" t="str">
        <x:v>DRAFT</x:v>
      </x:c>
      <x:c r="R4" s="49" t="str">
        <x:v>FALSE</x:v>
      </x:c>
      <x:c r="S4" s="55" t="b">
        <x:v>0</x:v>
      </x:c>
      <x:c r="T4" s="49" t="str">
        <x:v>https://www.nike.com/kr/w/structure-running-shoes-1sytgz37v7jzy7ok</x:v>
      </x:c>
      <x:c r="U4" s="49" t="str">
        <x:v>https://www.nike.com/kr/w/structure-running-shoes-1sytgz37v7jzy7ok</x:v>
      </x:c>
      <x:c r="V4" s="56" t="n">
        <x:v>46205</x:v>
      </x:c>
      <x:c r="W4" s="49" t="str">
        <x:v>product_db_v1.5</x:v>
      </x:c>
      <x:c r="X4" s="49" t="str">
        <x:v>Multi-model source row에서 Structure 26만 분리. Score 미검증.</x:v>
      </x:c>
      <x:c r="Y4" s="48"/>
      <x:c r="Z4" s="48"/>
    </x:row>
    <x:row r="5" ht="34" customHeight="1">
      <x:c r="A5" s="49" t="str">
        <x:v>nike_zoom_fly_6</x:v>
      </x:c>
      <x:c r="B5" s="49" t="str">
        <x:v>Nike</x:v>
      </x:c>
      <x:c r="C5" s="49" t="str">
        <x:v>Zoom Fly</x:v>
      </x:c>
      <x:c r="D5" s="49" t="str">
        <x:v>Zoom Fly</x:v>
      </x:c>
      <x:c r="E5" s="49" t="str">
        <x:v>6</x:v>
      </x:c>
      <x:c r="F5" s="49" t="str">
        <x:v>Nike Zoom Fly 6</x:v>
      </x:c>
      <x:c r="G5" s="49" t="str">
        <x:v>KR</x:v>
      </x:c>
      <x:c r="H5" s="49" t="str">
        <x:v>KRW</x:v>
      </x:c>
      <x:c r="I5" s="70" t="n">
        <x:v>229000</x:v>
      </x:c>
      <x:c r="J5" s="70" t="n">
        <x:v>229000</x:v>
      </x:c>
      <x:c r="K5" s="49" t="str">
        <x:v>SPEED_TRAINING</x:v>
      </x:c>
      <x:c r="L5" s="49" t="str">
        <x:v>SUPER_TRAINER</x:v>
      </x:c>
      <x:c r="M5" s="49" t="str">
        <x:v>PERFORMANCE</x:v>
      </x:c>
      <x:c r="N5" s="49" t="str">
        <x:v>CARBON</x:v>
      </x:c>
      <x:c r="O5" s="49" t="n">
        <x:v>3</x:v>
      </x:c>
      <x:c r="P5" s="49" t="str">
        <x:v>템포/스피드훈련</x:v>
      </x:c>
      <x:c r="Q5" s="49" t="str">
        <x:v>DRAFT</x:v>
      </x:c>
      <x:c r="R5" s="49" t="str">
        <x:v>FALSE</x:v>
      </x:c>
      <x:c r="S5" s="55" t="b">
        <x:v>0</x:v>
      </x:c>
      <x:c r="T5" s="49" t="str">
        <x:v>https://www.nike.com/kr/w/zoom-fly-running-shoes-37v7jz7oc5azy7ok</x:v>
      </x:c>
      <x:c r="U5" s="49" t="str">
        <x:v>https://www.nike.com/kr/w/zoom-fly-running-shoes-37v7jz7oc5azy7ok</x:v>
      </x:c>
      <x:c r="V5" s="56" t="n">
        <x:v>46205</x:v>
      </x:c>
      <x:c r="W5" s="49" t="str">
        <x:v>product_db_v1.5</x:v>
      </x:c>
      <x:c r="X5" s="49" t="str">
        <x:v>기존 Source 가격 범위 209,000~229,000원. 가격 범위는 최대값 기준으로 229,000원 적용.</x:v>
      </x:c>
      <x:c r="Y5" s="48"/>
      <x:c r="Z5" s="48"/>
    </x:row>
    <x:row r="6" ht="34" customHeight="1">
      <x:c r="A6" s="49" t="str">
        <x:v>nike_alphafly_3</x:v>
      </x:c>
      <x:c r="B6" s="49" t="str">
        <x:v>Nike</x:v>
      </x:c>
      <x:c r="C6" s="49" t="str">
        <x:v>Alphafly</x:v>
      </x:c>
      <x:c r="D6" s="49" t="str">
        <x:v>Alphafly</x:v>
      </x:c>
      <x:c r="E6" s="49" t="str">
        <x:v>3</x:v>
      </x:c>
      <x:c r="F6" s="49" t="str">
        <x:v>Nike Alphafly 3</x:v>
      </x:c>
      <x:c r="G6" s="49" t="str">
        <x:v>KR</x:v>
      </x:c>
      <x:c r="H6" s="49" t="str">
        <x:v>KRW</x:v>
      </x:c>
      <x:c r="I6" s="70" t="n">
        <x:v>359000</x:v>
      </x:c>
      <x:c r="J6" s="70" t="n">
        <x:v>359000</x:v>
      </x:c>
      <x:c r="K6" s="49" t="str">
        <x:v>RACE</x:v>
      </x:c>
      <x:c r="L6" s="49" t="str">
        <x:v>SPEED_TRAINING</x:v>
      </x:c>
      <x:c r="M6" s="49" t="str">
        <x:v>SPECIALIZED</x:v>
      </x:c>
      <x:c r="N6" s="49" t="str">
        <x:v>CARBON</x:v>
      </x:c>
      <x:c r="O6" s="49" t="n">
        <x:v>4</x:v>
      </x:c>
      <x:c r="P6" s="49" t="str">
        <x:v>레이스/카본</x:v>
      </x:c>
      <x:c r="Q6" s="49" t="str">
        <x:v>VERIFIED</x:v>
      </x:c>
      <x:c r="R6" s="49" t="str">
        <x:v>TRUE</x:v>
      </x:c>
      <x:c r="S6" s="55" t="b">
        <x:v>1</x:v>
      </x:c>
      <x:c r="T6" s="49" t="str">
        <x:v>https://www.nike.com/kr/w/alphafly-1tp17z38l5kz77ghy</x:v>
      </x:c>
      <x:c r="U6" s="49" t="str">
        <x:v>https://www.nike.com/kr/w/alphafly-1tp17z38l5kz77ghy</x:v>
      </x:c>
      <x:c r="V6" s="56" t="n">
        <x:v>46205</x:v>
      </x:c>
      <x:c r="W6" s="49" t="str">
        <x:v>product_db_v1.5</x:v>
      </x:c>
      <x:c r="X6" s="49" t="str">
        <x:v>기존 Source 가격 범위 339,000~359,000원. 가격 범위는 최대값 기준으로 359,000원 적용.</x:v>
      </x:c>
      <x:c r="Y6" s="48"/>
      <x:c r="Z6" s="48"/>
    </x:row>
    <x:row r="7" ht="34" customHeight="1">
      <x:c r="A7" s="49" t="str">
        <x:v>adidas_supernova_rise_3</x:v>
      </x:c>
      <x:c r="B7" s="49" t="str">
        <x:v>Adidas</x:v>
      </x:c>
      <x:c r="C7" s="49" t="str">
        <x:v>Supernova</x:v>
      </x:c>
      <x:c r="D7" s="49" t="str">
        <x:v>Supernova Rise</x:v>
      </x:c>
      <x:c r="E7" s="49" t="str">
        <x:v>3</x:v>
      </x:c>
      <x:c r="F7" s="49" t="str">
        <x:v>Adidas Supernova Rise 3</x:v>
      </x:c>
      <x:c r="G7" s="49" t="str">
        <x:v>KR</x:v>
      </x:c>
      <x:c r="H7" s="49" t="str">
        <x:v>KRW</x:v>
      </x:c>
      <x:c r="I7" s="70" t="n">
        <x:v>159000</x:v>
      </x:c>
      <x:c r="J7" s="70" t="n">
        <x:v>159000</x:v>
      </x:c>
      <x:c r="K7" s="49" t="str">
        <x:v>DAILY</x:v>
      </x:c>
      <x:c r="L7" s="49" t="str">
        <x:v>CUSHION_LONG</x:v>
      </x:c>
      <x:c r="M7" s="49" t="str">
        <x:v>GENERAL</x:v>
      </x:c>
      <x:c r="N7" s="49" t="str">
        <x:v>NONE</x:v>
      </x:c>
      <x:c r="O7" s="49" t="n">
        <x:v>6</x:v>
      </x:c>
      <x:c r="P7" s="49" t="str">
        <x:v>데일리/입문</x:v>
      </x:c>
      <x:c r="Q7" s="49" t="str">
        <x:v>DRAFT</x:v>
      </x:c>
      <x:c r="R7" s="49" t="str">
        <x:v>FALSE</x:v>
      </x:c>
      <x:c r="S7" s="55" t="b">
        <x:v>0</x:v>
      </x:c>
      <x:c r="T7" s="49" t="str">
        <x:v>https://www.adidas.co.kr/supernova-running-shoes</x:v>
      </x:c>
      <x:c r="U7" s="49" t="str">
        <x:v>https://www.adidas.co.kr/supernova-running-shoes</x:v>
      </x:c>
      <x:c r="V7" s="56" t="n">
        <x:v>46205</x:v>
      </x:c>
      <x:c r="W7" s="49" t="str">
        <x:v>product_db_v1.5</x:v>
      </x:c>
      <x:c r="X7" s="49" t="str">
        <x:v>Multi-model source row에서 Rise 3 분리. Score 미검증.</x:v>
      </x:c>
      <x:c r="Y7" s="48"/>
      <x:c r="Z7" s="48"/>
    </x:row>
    <x:row r="8" ht="34" customHeight="1">
      <x:c r="A8" s="49" t="str">
        <x:v>adidas_adizero_evo_sl</x:v>
      </x:c>
      <x:c r="B8" s="49" t="str">
        <x:v>Adidas</x:v>
      </x:c>
      <x:c r="C8" s="49" t="str">
        <x:v>Adizero</x:v>
      </x:c>
      <x:c r="D8" s="49" t="str">
        <x:v>Adizero EVO SL</x:v>
      </x:c>
      <x:c r="E8" s="49" t="str"/>
      <x:c r="F8" s="49" t="str">
        <x:v>Adidas Adizero EVO SL</x:v>
      </x:c>
      <x:c r="G8" s="49" t="str">
        <x:v>KR</x:v>
      </x:c>
      <x:c r="H8" s="49" t="str">
        <x:v>KRW</x:v>
      </x:c>
      <x:c r="I8" s="70" t="n">
        <x:v>209000</x:v>
      </x:c>
      <x:c r="J8" s="70" t="n">
        <x:v>209000</x:v>
      </x:c>
      <x:c r="K8" s="49" t="str">
        <x:v>SPEED_TRAINING</x:v>
      </x:c>
      <x:c r="L8" s="49" t="str">
        <x:v>DAILY|RACE</x:v>
      </x:c>
      <x:c r="M8" s="49" t="str">
        <x:v>PERFORMANCE</x:v>
      </x:c>
      <x:c r="N8" s="49" t="str">
        <x:v>NYLON_SHANK</x:v>
      </x:c>
      <x:c r="O8" s="49" t="n">
        <x:v>7</x:v>
      </x:c>
      <x:c r="P8" s="49" t="str">
        <x:v>템포/레이스</x:v>
      </x:c>
      <x:c r="Q8" s="49" t="str">
        <x:v>DRAFT</x:v>
      </x:c>
      <x:c r="R8" s="49" t="str">
        <x:v>FALSE</x:v>
      </x:c>
      <x:c r="S8" s="55" t="b">
        <x:v>0</x:v>
      </x:c>
      <x:c r="T8" s="49" t="str">
        <x:v>https://www.adidas.co.kr/men-adizero-running</x:v>
      </x:c>
      <x:c r="U8" s="49" t="str">
        <x:v>https://www.adidas.co.kr/men-adizero-running</x:v>
      </x:c>
      <x:c r="V8" s="56" t="n">
        <x:v>46205</x:v>
      </x:c>
      <x:c r="W8" s="49" t="str">
        <x:v>product_db_v1.5</x:v>
      </x:c>
      <x:c r="X8" s="49" t="str">
        <x:v>Web review recheck v1.1: 경량 퍼포먼스 트레이너/레이서 성격. MVP primary_use를 SUPER_TRAINER에서 SPEED_TRAINING으로 조정.</x:v>
      </x:c>
      <x:c r="Y8" s="48"/>
      <x:c r="Z8" s="48"/>
    </x:row>
    <x:row r="9" ht="34" customHeight="1">
      <x:c r="A9" s="49" t="str">
        <x:v>adidas_adios_pro_4</x:v>
      </x:c>
      <x:c r="B9" s="49" t="str">
        <x:v>Adidas</x:v>
      </x:c>
      <x:c r="C9" s="49" t="str">
        <x:v>Adizero</x:v>
      </x:c>
      <x:c r="D9" s="49" t="str">
        <x:v>Adios Pro</x:v>
      </x:c>
      <x:c r="E9" s="49" t="str">
        <x:v>4</x:v>
      </x:c>
      <x:c r="F9" s="49" t="str">
        <x:v>Adidas Adizero Adios Pro 4</x:v>
      </x:c>
      <x:c r="G9" s="49" t="str">
        <x:v>KR</x:v>
      </x:c>
      <x:c r="H9" s="49" t="str">
        <x:v>KRW</x:v>
      </x:c>
      <x:c r="I9" s="70" t="n">
        <x:v>299000</x:v>
      </x:c>
      <x:c r="J9" s="70" t="n">
        <x:v>299000</x:v>
      </x:c>
      <x:c r="K9" s="49" t="str">
        <x:v>RACE</x:v>
      </x:c>
      <x:c r="L9" s="49" t="str">
        <x:v>SPEED_TRAINING</x:v>
      </x:c>
      <x:c r="M9" s="49" t="str">
        <x:v>SPECIALIZED</x:v>
      </x:c>
      <x:c r="N9" s="49" t="str">
        <x:v>CARBON_RODS</x:v>
      </x:c>
      <x:c r="O9" s="49" t="n">
        <x:v>7</x:v>
      </x:c>
      <x:c r="P9" s="49" t="str">
        <x:v>템포/레이스</x:v>
      </x:c>
      <x:c r="Q9" s="49" t="str">
        <x:v>DRAFT</x:v>
      </x:c>
      <x:c r="R9" s="49" t="str">
        <x:v>FALSE</x:v>
      </x:c>
      <x:c r="S9" s="55" t="b">
        <x:v>0</x:v>
      </x:c>
      <x:c r="T9" s="49" t="str">
        <x:v>https://www.adidas.co.kr/men-adizero-running</x:v>
      </x:c>
      <x:c r="U9" s="49" t="str">
        <x:v>https://www.adidas.co.kr/men-adizero-running</x:v>
      </x:c>
      <x:c r="V9" s="56" t="n">
        <x:v>46205</x:v>
      </x:c>
      <x:c r="W9" s="49" t="str">
        <x:v>product_db_v1.5</x:v>
      </x:c>
      <x:c r="X9" s="49" t="str">
        <x:v>Multi-model source row에서 Adios Pro 4 분리. Score 미검증.</x:v>
      </x:c>
      <x:c r="Y9" s="48"/>
      <x:c r="Z9" s="48"/>
    </x:row>
    <x:row r="10" ht="34" customHeight="1">
      <x:c r="A10" s="49" t="str">
        <x:v>nb_1080_v15</x:v>
      </x:c>
      <x:c r="B10" s="49" t="str">
        <x:v>New Balance</x:v>
      </x:c>
      <x:c r="C10" s="49" t="str">
        <x:v>1080</x:v>
      </x:c>
      <x:c r="D10" s="49" t="str">
        <x:v>Fresh Foam X 1080</x:v>
      </x:c>
      <x:c r="E10" s="49" t="str">
        <x:v>v15</x:v>
      </x:c>
      <x:c r="F10" s="49" t="str">
        <x:v>New Balance Fresh Foam X 1080 v15</x:v>
      </x:c>
      <x:c r="G10" s="49" t="str">
        <x:v>KR</x:v>
      </x:c>
      <x:c r="H10" s="49" t="str">
        <x:v>KRW</x:v>
      </x:c>
      <x:c r="I10" s="70" t="n">
        <x:v>209000</x:v>
      </x:c>
      <x:c r="J10" s="70" t="n">
        <x:v>209000</x:v>
      </x:c>
      <x:c r="K10" s="49" t="str">
        <x:v>CUSHION_LONG</x:v>
      </x:c>
      <x:c r="L10" s="49" t="str">
        <x:v>DAILY</x:v>
      </x:c>
      <x:c r="M10" s="49" t="str">
        <x:v>GENERAL</x:v>
      </x:c>
      <x:c r="N10" s="49" t="str">
        <x:v>NONE</x:v>
      </x:c>
      <x:c r="O10" s="49" t="n">
        <x:v>9</x:v>
      </x:c>
      <x:c r="P10" s="49" t="str">
        <x:v>쿠션/장거리</x:v>
      </x:c>
      <x:c r="Q10" s="49" t="str">
        <x:v>VERIFIED</x:v>
      </x:c>
      <x:c r="R10" s="49" t="str">
        <x:v>TRUE</x:v>
      </x:c>
      <x:c r="S10" s="55" t="b">
        <x:v>1</x:v>
      </x:c>
      <x:c r="T10" s="49" t="str">
        <x:v>https://pay.nbkorea.com/product/productDetail.action?colCode=19&amp;styleCode=NBPFGS102T</x:v>
      </x:c>
      <x:c r="U10" s="49" t="str">
        <x:v>https://pay.nbkorea.com/product/productDetail.action?colCode=19&amp;styleCode=NBPFGS102T</x:v>
      </x:c>
      <x:c r="V10" s="56" t="n">
        <x:v>46205</x:v>
      </x:c>
      <x:c r="W10" s="49" t="str">
        <x:v>product_db_v1.5</x:v>
      </x:c>
      <x:c r="X10" s="49" t="str">
        <x:v>프리미엄 쿠션 라인.</x:v>
      </x:c>
      <x:c r="Y10" s="48"/>
      <x:c r="Z10" s="48"/>
    </x:row>
    <x:row r="11" ht="34" customHeight="1">
      <x:c r="A11" s="49" t="str">
        <x:v>nb_880_v15</x:v>
      </x:c>
      <x:c r="B11" s="49" t="str">
        <x:v>New Balance</x:v>
      </x:c>
      <x:c r="C11" s="49" t="str">
        <x:v>880</x:v>
      </x:c>
      <x:c r="D11" s="49" t="str">
        <x:v>Fresh Foam X 880</x:v>
      </x:c>
      <x:c r="E11" s="49" t="str">
        <x:v>v15</x:v>
      </x:c>
      <x:c r="F11" s="49" t="str">
        <x:v>New Balance Fresh Foam X 880 v15</x:v>
      </x:c>
      <x:c r="G11" s="49" t="str">
        <x:v>KR</x:v>
      </x:c>
      <x:c r="H11" s="49" t="str">
        <x:v>KRW</x:v>
      </x:c>
      <x:c r="I11" s="70" t="n">
        <x:v>189000</x:v>
      </x:c>
      <x:c r="J11" s="70" t="n">
        <x:v>189000</x:v>
      </x:c>
      <x:c r="K11" s="49" t="str">
        <x:v>DAILY</x:v>
      </x:c>
      <x:c r="L11" s="49" t="str">
        <x:v>CUSHION_LONG</x:v>
      </x:c>
      <x:c r="M11" s="49" t="str">
        <x:v>GENERAL</x:v>
      </x:c>
      <x:c r="N11" s="49" t="str">
        <x:v>NONE</x:v>
      </x:c>
      <x:c r="O11" s="49" t="n">
        <x:v>10</x:v>
      </x:c>
      <x:c r="P11" s="49" t="str">
        <x:v>데일리/중립</x:v>
      </x:c>
      <x:c r="Q11" s="49" t="str">
        <x:v>DRAFT</x:v>
      </x:c>
      <x:c r="R11" s="49" t="str">
        <x:v>FALSE</x:v>
      </x:c>
      <x:c r="S11" s="55" t="b">
        <x:v>0</x:v>
      </x:c>
      <x:c r="T11" s="49" t="str">
        <x:v>https://pay.nbkorea.com/product/productDetail.action?colCode=19&amp;styleCode=NBPFGS107T</x:v>
      </x:c>
      <x:c r="U11" s="49" t="str">
        <x:v>https://pay.nbkorea.com/product/productDetail.action?colCode=19&amp;styleCode=NBPFGS107T</x:v>
      </x:c>
      <x:c r="V11" s="56" t="n">
        <x:v>46205</x:v>
      </x:c>
      <x:c r="W11" s="49" t="str">
        <x:v>product_db_v1.5</x:v>
      </x:c>
      <x:c r="X11" s="49" t="str">
        <x:v>중립 데일리 라인. Score 미검증.</x:v>
      </x:c>
      <x:c r="Y11" s="48"/>
      <x:c r="Z11" s="48"/>
    </x:row>
    <x:row r="12" ht="34" customHeight="1">
      <x:c r="A12" s="49" t="str">
        <x:v>nb_860_v15</x:v>
      </x:c>
      <x:c r="B12" s="49" t="str">
        <x:v>New Balance</x:v>
      </x:c>
      <x:c r="C12" s="49" t="str">
        <x:v>860</x:v>
      </x:c>
      <x:c r="D12" s="49" t="str">
        <x:v>Fresh Foam X 860</x:v>
      </x:c>
      <x:c r="E12" s="49" t="str">
        <x:v>v15</x:v>
      </x:c>
      <x:c r="F12" s="49" t="str">
        <x:v>New Balance Fresh Foam X 860 v15</x:v>
      </x:c>
      <x:c r="G12" s="49" t="str">
        <x:v>KR</x:v>
      </x:c>
      <x:c r="H12" s="49" t="str">
        <x:v>KRW</x:v>
      </x:c>
      <x:c r="I12" s="70" t="n">
        <x:v>189000</x:v>
      </x:c>
      <x:c r="J12" s="70" t="n">
        <x:v>189000</x:v>
      </x:c>
      <x:c r="K12" s="49" t="str">
        <x:v>STABILITY</x:v>
      </x:c>
      <x:c r="L12" s="49" t="str">
        <x:v>CUSHION_LONG</x:v>
      </x:c>
      <x:c r="M12" s="49" t="str">
        <x:v>GENERAL</x:v>
      </x:c>
      <x:c r="N12" s="49" t="str">
        <x:v>STABILITY_PLATE</x:v>
      </x:c>
      <x:c r="O12" s="49" t="n">
        <x:v>11</x:v>
      </x:c>
      <x:c r="P12" s="49" t="str">
        <x:v>안정화</x:v>
      </x:c>
      <x:c r="Q12" s="49" t="str">
        <x:v>VERIFIED</x:v>
      </x:c>
      <x:c r="R12" s="49" t="str">
        <x:v>TRUE</x:v>
      </x:c>
      <x:c r="S12" s="55" t="b">
        <x:v>1</x:v>
      </x:c>
      <x:c r="T12" s="49" t="str">
        <x:v>https://pay.nbkorea.com/product/productDetail.action?colCode=19&amp;styleCode=NBPFGS109K</x:v>
      </x:c>
      <x:c r="U12" s="49" t="str">
        <x:v>https://pay.nbkorea.com/product/productDetail.action?colCode=19&amp;styleCode=NBPFGS109K</x:v>
      </x:c>
      <x:c r="V12" s="56" t="n">
        <x:v>46205</x:v>
      </x:c>
      <x:c r="W12" s="49" t="str">
        <x:v>product_db_v1.5</x:v>
      </x:c>
      <x:c r="X12" s="49" t="str">
        <x:v>안정화 러닝화.</x:v>
      </x:c>
      <x:c r="Y12" s="48"/>
      <x:c r="Z12" s="48"/>
    </x:row>
    <x:row r="13" ht="34" customHeight="1">
      <x:c r="A13" s="49" t="str">
        <x:v>nb_sc_elite_v5</x:v>
      </x:c>
      <x:c r="B13" s="49" t="str">
        <x:v>New Balance</x:v>
      </x:c>
      <x:c r="C13" s="49" t="str">
        <x:v>SC Elite</x:v>
      </x:c>
      <x:c r="D13" s="49" t="str">
        <x:v>FuelCell SuperComp Elite</x:v>
      </x:c>
      <x:c r="E13" s="49" t="str">
        <x:v>v5</x:v>
      </x:c>
      <x:c r="F13" s="49" t="str">
        <x:v>New Balance FuelCell SuperComp Elite v5</x:v>
      </x:c>
      <x:c r="G13" s="49" t="str">
        <x:v>KR</x:v>
      </x:c>
      <x:c r="H13" s="49" t="str">
        <x:v>KRW</x:v>
      </x:c>
      <x:c r="I13" s="70" t="n">
        <x:v>349000</x:v>
      </x:c>
      <x:c r="J13" s="70" t="n">
        <x:v>349000</x:v>
      </x:c>
      <x:c r="K13" s="49" t="str">
        <x:v>RACE</x:v>
      </x:c>
      <x:c r="L13" s="49" t="str">
        <x:v>SPEED_TRAINING</x:v>
      </x:c>
      <x:c r="M13" s="49" t="str">
        <x:v>SPECIALIZED</x:v>
      </x:c>
      <x:c r="N13" s="49" t="str">
        <x:v>CARBON</x:v>
      </x:c>
      <x:c r="O13" s="49" t="n">
        <x:v>12</x:v>
      </x:c>
      <x:c r="P13" s="49" t="str">
        <x:v>레이스/카본</x:v>
      </x:c>
      <x:c r="Q13" s="49" t="str">
        <x:v>VERIFIED</x:v>
      </x:c>
      <x:c r="R13" s="49" t="str">
        <x:v>TRUE</x:v>
      </x:c>
      <x:c r="S13" s="55" t="b">
        <x:v>1</x:v>
      </x:c>
      <x:c r="T13" s="49" t="str">
        <x:v>https://pay.nbkorea.com/product/productDetail.action?colCode=35&amp;rccode=pc_detail_a2&amp;styleCode=NBP0FF014T</x:v>
      </x:c>
      <x:c r="U13" s="49" t="str">
        <x:v>https://pay.nbkorea.com/product/productDetail.action?colCode=35&amp;rccode=pc_detail_a2&amp;styleCode=NBP0FF014T</x:v>
      </x:c>
      <x:c r="V13" s="56" t="n">
        <x:v>46205</x:v>
      </x:c>
      <x:c r="W13" s="49" t="str">
        <x:v>product_db_v1.5</x:v>
      </x:c>
      <x:c r="X13" s="49" t="str">
        <x:v>상급 레이스용.</x:v>
      </x:c>
      <x:c r="Y13" s="48"/>
      <x:c r="Z13" s="48"/>
    </x:row>
    <x:row r="14" ht="34" customHeight="1">
      <x:c r="A14" s="49" t="str">
        <x:v>asics_gel_nimbus_28</x:v>
      </x:c>
      <x:c r="B14" s="49" t="str">
        <x:v>ASICS</x:v>
      </x:c>
      <x:c r="C14" s="49" t="str">
        <x:v>GEL-NIMBUS</x:v>
      </x:c>
      <x:c r="D14" s="49" t="str">
        <x:v>GEL-NIMBUS</x:v>
      </x:c>
      <x:c r="E14" s="49" t="str">
        <x:v>28</x:v>
      </x:c>
      <x:c r="F14" s="49" t="str">
        <x:v>ASICS GEL-NIMBUS 28</x:v>
      </x:c>
      <x:c r="G14" s="49" t="str">
        <x:v>KR</x:v>
      </x:c>
      <x:c r="H14" s="49" t="str">
        <x:v>KRW</x:v>
      </x:c>
      <x:c r="I14" s="70" t="n">
        <x:v>199000</x:v>
      </x:c>
      <x:c r="J14" s="70" t="n">
        <x:v>199000</x:v>
      </x:c>
      <x:c r="K14" s="49" t="str">
        <x:v>CUSHION_LONG</x:v>
      </x:c>
      <x:c r="L14" s="49" t="str">
        <x:v>DAILY</x:v>
      </x:c>
      <x:c r="M14" s="49" t="str">
        <x:v>GENERAL</x:v>
      </x:c>
      <x:c r="N14" s="49" t="str">
        <x:v>NONE</x:v>
      </x:c>
      <x:c r="O14" s="49" t="n">
        <x:v>19</x:v>
      </x:c>
      <x:c r="P14" s="49" t="str">
        <x:v>쿠션/장거리</x:v>
      </x:c>
      <x:c r="Q14" s="49" t="str">
        <x:v>VERIFIED</x:v>
      </x:c>
      <x:c r="R14" s="49" t="str">
        <x:v>TRUE</x:v>
      </x:c>
      <x:c r="S14" s="55" t="b">
        <x:v>1</x:v>
      </x:c>
      <x:c r="T14" s="49" t="str">
        <x:v>https://www.asics.co.kr/c/m-running-shoes</x:v>
      </x:c>
      <x:c r="U14" s="49" t="str">
        <x:v>https://www.asics.co.kr/c/m-running-shoes</x:v>
      </x:c>
      <x:c r="V14" s="56" t="n">
        <x:v>46205</x:v>
      </x:c>
      <x:c r="W14" s="49" t="str">
        <x:v>product_db_v1.5</x:v>
      </x:c>
      <x:c r="X14" s="49" t="str">
        <x:v>맥스 쿠션/장거리 라인.</x:v>
      </x:c>
      <x:c r="Y14" s="48"/>
      <x:c r="Z14" s="48"/>
    </x:row>
    <x:row r="15" ht="34" customHeight="1">
      <x:c r="A15" s="49" t="str">
        <x:v>asics_novablast_5</x:v>
      </x:c>
      <x:c r="B15" s="49" t="str">
        <x:v>ASICS</x:v>
      </x:c>
      <x:c r="C15" s="49" t="str">
        <x:v>NOVABLAST</x:v>
      </x:c>
      <x:c r="D15" s="49" t="str">
        <x:v>NOVABLAST</x:v>
      </x:c>
      <x:c r="E15" s="49" t="str">
        <x:v>5</x:v>
      </x:c>
      <x:c r="F15" s="49" t="str">
        <x:v>ASICS NOVABLAST 5</x:v>
      </x:c>
      <x:c r="G15" s="49" t="str">
        <x:v>KR</x:v>
      </x:c>
      <x:c r="H15" s="49" t="str">
        <x:v>KRW</x:v>
      </x:c>
      <x:c r="I15" s="70" t="n">
        <x:v>169000</x:v>
      </x:c>
      <x:c r="J15" s="70" t="n">
        <x:v>169000</x:v>
      </x:c>
      <x:c r="K15" s="49" t="str">
        <x:v>DAILY</x:v>
      </x:c>
      <x:c r="L15" s="49" t="str">
        <x:v>SUPER_TRAINER</x:v>
      </x:c>
      <x:c r="M15" s="49" t="str">
        <x:v>GENERAL</x:v>
      </x:c>
      <x:c r="N15" s="49" t="str">
        <x:v>NONE</x:v>
      </x:c>
      <x:c r="O15" s="49" t="n">
        <x:v>20</x:v>
      </x:c>
      <x:c r="P15" s="49" t="str">
        <x:v>데일리/반발</x:v>
      </x:c>
      <x:c r="Q15" s="49" t="str">
        <x:v>DRAFT</x:v>
      </x:c>
      <x:c r="R15" s="49" t="str">
        <x:v>FALSE</x:v>
      </x:c>
      <x:c r="S15" s="55" t="b">
        <x:v>0</x:v>
      </x:c>
      <x:c r="T15" s="49" t="str">
        <x:v>https://www.asics.co.kr/c/m-running-shoes</x:v>
      </x:c>
      <x:c r="U15" s="49" t="str">
        <x:v>https://www.asics.co.kr/c/m-running-shoes</x:v>
      </x:c>
      <x:c r="V15" s="56" t="n">
        <x:v>46205</x:v>
      </x:c>
      <x:c r="W15" s="49" t="str">
        <x:v>product_db_v1.5</x:v>
      </x:c>
      <x:c r="X15" s="49" t="str">
        <x:v>기존 Source는 '169,000원부터'. MVP 가격 기준은 한국 공식 기준가 169,000원으로 통일.</x:v>
      </x:c>
      <x:c r="Y15" s="48"/>
      <x:c r="Z15" s="48"/>
    </x:row>
    <x:row r="16" ht="34" customHeight="1">
      <x:c r="A16" s="49" t="str">
        <x:v>asics_superblast_3</x:v>
      </x:c>
      <x:c r="B16" s="49" t="str">
        <x:v>ASICS</x:v>
      </x:c>
      <x:c r="C16" s="49" t="str">
        <x:v>SUPERBLAST</x:v>
      </x:c>
      <x:c r="D16" s="49" t="str">
        <x:v>SUPERBLAST</x:v>
      </x:c>
      <x:c r="E16" s="49" t="str">
        <x:v>3</x:v>
      </x:c>
      <x:c r="F16" s="49" t="str">
        <x:v>ASICS SUPERBLAST 3</x:v>
      </x:c>
      <x:c r="G16" s="49" t="str">
        <x:v>KR</x:v>
      </x:c>
      <x:c r="H16" s="49" t="str">
        <x:v>KRW</x:v>
      </x:c>
      <x:c r="I16" s="70" t="n">
        <x:v>259000</x:v>
      </x:c>
      <x:c r="J16" s="70" t="n">
        <x:v>259000</x:v>
      </x:c>
      <x:c r="K16" s="49" t="str">
        <x:v>SUPER_TRAINER</x:v>
      </x:c>
      <x:c r="L16" s="49" t="str">
        <x:v>CUSHION_LONG|SPEED_TRAINING</x:v>
      </x:c>
      <x:c r="M16" s="49" t="str">
        <x:v>PERFORMANCE</x:v>
      </x:c>
      <x:c r="N16" s="49" t="str">
        <x:v>NONE</x:v>
      </x:c>
      <x:c r="O16" s="49" t="n">
        <x:v>21</x:v>
      </x:c>
      <x:c r="P16" s="49" t="str">
        <x:v>슈퍼트레이너</x:v>
      </x:c>
      <x:c r="Q16" s="49" t="str">
        <x:v>DRAFT</x:v>
      </x:c>
      <x:c r="R16" s="49" t="str">
        <x:v>FALSE</x:v>
      </x:c>
      <x:c r="S16" s="55" t="b">
        <x:v>0</x:v>
      </x:c>
      <x:c r="T16" s="49" t="str">
        <x:v>https://www.asics.co.kr/c/m-running-shoes</x:v>
      </x:c>
      <x:c r="U16" s="49" t="str">
        <x:v>https://www.asics.co.kr/c/m-running-shoes</x:v>
      </x:c>
      <x:c r="V16" s="56" t="n">
        <x:v>46205</x:v>
      </x:c>
      <x:c r="W16" s="49" t="str">
        <x:v>product_db_v1.5</x:v>
      </x:c>
      <x:c r="X16" s="49" t="str">
        <x:v>Multi-model source row에서 SUPERBLAST 3 분리. Score 미검증.</x:v>
      </x:c>
      <x:c r="Y16" s="48"/>
      <x:c r="Z16" s="48"/>
    </x:row>
    <x:row r="17" ht="34" customHeight="1">
      <x:c r="A17" s="49" t="str">
        <x:v>saucony_ride_19</x:v>
      </x:c>
      <x:c r="B17" s="49" t="str">
        <x:v>Saucony</x:v>
      </x:c>
      <x:c r="C17" s="49" t="str">
        <x:v>Ride</x:v>
      </x:c>
      <x:c r="D17" s="49" t="str">
        <x:v>Ride</x:v>
      </x:c>
      <x:c r="E17" s="49" t="str">
        <x:v>19</x:v>
      </x:c>
      <x:c r="F17" s="49" t="str">
        <x:v>Saucony Ride 19</x:v>
      </x:c>
      <x:c r="G17" s="49" t="str">
        <x:v>KR</x:v>
      </x:c>
      <x:c r="H17" s="49" t="str">
        <x:v>KRW</x:v>
      </x:c>
      <x:c r="I17" s="70" t="n">
        <x:v>179000</x:v>
      </x:c>
      <x:c r="J17" s="70" t="n">
        <x:v>179000</x:v>
      </x:c>
      <x:c r="K17" s="49" t="str">
        <x:v>DAILY</x:v>
      </x:c>
      <x:c r="L17" s="49" t="str">
        <x:v>CUSHION_LONG</x:v>
      </x:c>
      <x:c r="M17" s="49" t="str">
        <x:v>GENERAL</x:v>
      </x:c>
      <x:c r="N17" s="49" t="str">
        <x:v>NONE</x:v>
      </x:c>
      <x:c r="O17" s="49" t="n">
        <x:v>24</x:v>
      </x:c>
      <x:c r="P17" s="49" t="str">
        <x:v>데일리/올라운드</x:v>
      </x:c>
      <x:c r="Q17" s="49" t="str">
        <x:v>VERIFIED</x:v>
      </x:c>
      <x:c r="R17" s="49" t="str">
        <x:v>TRUE</x:v>
      </x:c>
      <x:c r="S17" s="55" t="b">
        <x:v>1</x:v>
      </x:c>
      <x:c r="T17" s="49" t="str">
        <x:v>https://saucony.co.kr/category/%EB%9D%BC%EC%9D%B4%EB%93%9C/114</x:v>
      </x:c>
      <x:c r="U17" s="49" t="str">
        <x:v>https://saucony.co.kr/category/%EB%9D%BC%EC%9D%B4%EB%93%9C/114</x:v>
      </x:c>
      <x:c r="V17" s="56" t="n">
        <x:v>46205</x:v>
      </x:c>
      <x:c r="W17" s="49" t="str">
        <x:v>product_db_v1.5</x:v>
      </x:c>
      <x:c r="X17" s="49" t="str">
        <x:v>중립 데일리 올라운드.</x:v>
      </x:c>
      <x:c r="Y17" s="48"/>
      <x:c r="Z17" s="48"/>
    </x:row>
    <x:row r="18" ht="34" customHeight="1">
      <x:c r="A18" s="49" t="str">
        <x:v>saucony_triumph_23</x:v>
      </x:c>
      <x:c r="B18" s="49" t="str">
        <x:v>Saucony</x:v>
      </x:c>
      <x:c r="C18" s="49" t="str">
        <x:v>Triumph</x:v>
      </x:c>
      <x:c r="D18" s="49" t="str">
        <x:v>Triumph</x:v>
      </x:c>
      <x:c r="E18" s="49" t="str">
        <x:v>23</x:v>
      </x:c>
      <x:c r="F18" s="49" t="str">
        <x:v>Saucony Triumph 23</x:v>
      </x:c>
      <x:c r="G18" s="49" t="str">
        <x:v>KR</x:v>
      </x:c>
      <x:c r="H18" s="49" t="str">
        <x:v>KRW</x:v>
      </x:c>
      <x:c r="I18" s="70" t="n">
        <x:v>199000</x:v>
      </x:c>
      <x:c r="J18" s="70" t="n">
        <x:v>199000</x:v>
      </x:c>
      <x:c r="K18" s="49" t="str">
        <x:v>CUSHION_LONG</x:v>
      </x:c>
      <x:c r="L18" s="49" t="str">
        <x:v>DAILY</x:v>
      </x:c>
      <x:c r="M18" s="49" t="str">
        <x:v>GENERAL</x:v>
      </x:c>
      <x:c r="N18" s="49" t="str">
        <x:v>NONE</x:v>
      </x:c>
      <x:c r="O18" s="49" t="n">
        <x:v>25</x:v>
      </x:c>
      <x:c r="P18" s="49" t="str">
        <x:v>쿠션/장거리</x:v>
      </x:c>
      <x:c r="Q18" s="49" t="str">
        <x:v>DRAFT</x:v>
      </x:c>
      <x:c r="R18" s="49" t="str">
        <x:v>FALSE</x:v>
      </x:c>
      <x:c r="S18" s="55" t="b">
        <x:v>0</x:v>
      </x:c>
      <x:c r="T18" s="49" t="str">
        <x:v>https://saucony.co.kr/product/%EC%97%AC%EC%84%B1-%ED%8A%B8%EB%9D%BC%EC%9D%B4%EC%97%84%ED%94%84-23-%EC%99%80%EC%9D%B4%EB%93%9C-vaporarctic/197/category/42/display/1/</x:v>
      </x:c>
      <x:c r="U18" s="49" t="str">
        <x:v>https://saucony.co.kr/product/%EC%97%AC%EC%84%B1-%ED%8A%B8%EB%9D%BC%EC%9D%B4%EC%97%84%ED%94%84-23-%EC%99%80%EC%9D%B4%EB%93%9C-vaporarctic/197/category/42/display/1/</x:v>
      </x:c>
      <x:c r="V18" s="56" t="n">
        <x:v>46205</x:v>
      </x:c>
      <x:c r="W18" s="49" t="str">
        <x:v>product_db_v1.5</x:v>
      </x:c>
      <x:c r="X18" s="49" t="str">
        <x:v>프리미엄 쿠션 라인. Score 미검증.</x:v>
      </x:c>
      <x:c r="Y18" s="48"/>
      <x:c r="Z18" s="48"/>
    </x:row>
    <x:row r="19" ht="34" customHeight="1">
      <x:c r="A19" s="49" t="str">
        <x:v>saucony_guide_19</x:v>
      </x:c>
      <x:c r="B19" s="49" t="str">
        <x:v>Saucony</x:v>
      </x:c>
      <x:c r="C19" s="49" t="str">
        <x:v>Guide</x:v>
      </x:c>
      <x:c r="D19" s="49" t="str">
        <x:v>Guide</x:v>
      </x:c>
      <x:c r="E19" s="49" t="str">
        <x:v>19</x:v>
      </x:c>
      <x:c r="F19" s="49" t="str">
        <x:v>Saucony Guide 19</x:v>
      </x:c>
      <x:c r="G19" s="49" t="str">
        <x:v>KR</x:v>
      </x:c>
      <x:c r="H19" s="49" t="str">
        <x:v>KRW</x:v>
      </x:c>
      <x:c r="I19" s="70" t="n">
        <x:v>179000</x:v>
      </x:c>
      <x:c r="J19" s="70" t="n">
        <x:v>179000</x:v>
      </x:c>
      <x:c r="K19" s="49" t="str">
        <x:v>STABILITY</x:v>
      </x:c>
      <x:c r="L19" s="49" t="str">
        <x:v>DAILY</x:v>
      </x:c>
      <x:c r="M19" s="49" t="str">
        <x:v>GENERAL</x:v>
      </x:c>
      <x:c r="N19" s="49" t="str">
        <x:v>NONE</x:v>
      </x:c>
      <x:c r="O19" s="49" t="n">
        <x:v>26</x:v>
      </x:c>
      <x:c r="P19" s="49" t="str">
        <x:v>안정화</x:v>
      </x:c>
      <x:c r="Q19" s="49" t="str">
        <x:v>DRAFT</x:v>
      </x:c>
      <x:c r="R19" s="49" t="str">
        <x:v>FALSE</x:v>
      </x:c>
      <x:c r="S19" s="55" t="b">
        <x:v>0</x:v>
      </x:c>
      <x:c r="T19" s="49" t="str">
        <x:v>https://saucony.co.kr/product/list.html?cate_no=131</x:v>
      </x:c>
      <x:c r="U19" s="49" t="str">
        <x:v>https://saucony.co.kr/product/list.html?cate_no=131</x:v>
      </x:c>
      <x:c r="V19" s="56" t="n">
        <x:v>46205</x:v>
      </x:c>
      <x:c r="W19" s="49" t="str">
        <x:v>product_db_v1.5</x:v>
      </x:c>
      <x:c r="X19" s="49" t="str">
        <x:v>Source 숫자 하한/상한과 표시가가 불일치해 가격 재검증 필요.</x:v>
      </x:c>
      <x:c r="Y19" s="48"/>
      <x:c r="Z19" s="48"/>
    </x:row>
    <x:row r="20" ht="34" customHeight="1">
      <x:c r="A20" s="49" t="str">
        <x:v>saucony_endorphin_speed_5</x:v>
      </x:c>
      <x:c r="B20" s="49" t="str">
        <x:v>Saucony</x:v>
      </x:c>
      <x:c r="C20" s="49" t="str">
        <x:v>Endorphin Speed</x:v>
      </x:c>
      <x:c r="D20" s="49" t="str">
        <x:v>Endorphin Speed</x:v>
      </x:c>
      <x:c r="E20" s="49" t="str">
        <x:v>5</x:v>
      </x:c>
      <x:c r="F20" s="49" t="str">
        <x:v>Saucony Endorphin Speed 5</x:v>
      </x:c>
      <x:c r="G20" s="49" t="str">
        <x:v>KR</x:v>
      </x:c>
      <x:c r="H20" s="49" t="str">
        <x:v>KRW</x:v>
      </x:c>
      <x:c r="I20" s="70" t="n">
        <x:v>219000</x:v>
      </x:c>
      <x:c r="J20" s="70" t="n">
        <x:v>219000</x:v>
      </x:c>
      <x:c r="K20" s="49" t="str">
        <x:v>SPEED_TRAINING</x:v>
      </x:c>
      <x:c r="L20" s="49" t="str">
        <x:v>SUPER_TRAINER|RACE</x:v>
      </x:c>
      <x:c r="M20" s="49" t="str">
        <x:v>PERFORMANCE</x:v>
      </x:c>
      <x:c r="N20" s="49" t="str">
        <x:v>NYLON</x:v>
      </x:c>
      <x:c r="O20" s="49" t="n">
        <x:v>27</x:v>
      </x:c>
      <x:c r="P20" s="49" t="str">
        <x:v>템포/스피드훈련</x:v>
      </x:c>
      <x:c r="Q20" s="49" t="str">
        <x:v>VERIFIED</x:v>
      </x:c>
      <x:c r="R20" s="49" t="str">
        <x:v>TRUE</x:v>
      </x:c>
      <x:c r="S20" s="55" t="b">
        <x:v>1</x:v>
      </x:c>
      <x:c r="T20" s="49" t="str">
        <x:v>https://saucony.co.kr/product/%EB%82%A8%EC%84%B1-%EC%97%94%EB%8F%8C%ED%95%80-%EC%8A%A4%ED%94%BC%EB%93%9C-5-%EC%99%80%EC%9D%B4%EB%93%9C-ivoryfire/217/</x:v>
      </x:c>
      <x:c r="U20" s="49" t="str">
        <x:v>https://saucony.co.kr/product/%EB%82%A8%EC%84%B1-%EC%97%94%EB%8F%8C%ED%95%80-%EC%8A%A4%ED%94%BC%EB%93%9C-5-%EC%99%80%EC%9D%B4%EB%93%9C-ivoryfire/217/</x:v>
      </x:c>
      <x:c r="V20" s="56" t="n">
        <x:v>46205</x:v>
      </x:c>
      <x:c r="W20" s="49" t="str">
        <x:v>product_db_v1.5</x:v>
      </x:c>
      <x:c r="X20" s="49" t="str">
        <x:v>나일론 플레이트 기반 퍼포먼스 훈련화.</x:v>
      </x:c>
      <x:c r="Y20" s="48"/>
      <x:c r="Z20" s="48"/>
    </x:row>
    <x:row r="21" ht="34" customHeight="1">
      <x:c r="A21" s="49" t="str">
        <x:v>saucony_endorphin_pro_5</x:v>
      </x:c>
      <x:c r="B21" s="49" t="str">
        <x:v>Saucony</x:v>
      </x:c>
      <x:c r="C21" s="49" t="str">
        <x:v>Endorphin Pro</x:v>
      </x:c>
      <x:c r="D21" s="49" t="str">
        <x:v>Endorphin Pro</x:v>
      </x:c>
      <x:c r="E21" s="49" t="str">
        <x:v>5</x:v>
      </x:c>
      <x:c r="F21" s="49" t="str">
        <x:v>Saucony Endorphin Pro 5</x:v>
      </x:c>
      <x:c r="G21" s="49" t="str">
        <x:v>KR</x:v>
      </x:c>
      <x:c r="H21" s="49" t="str">
        <x:v>KRW</x:v>
      </x:c>
      <x:c r="I21" s="70" t="n">
        <x:v>299000</x:v>
      </x:c>
      <x:c r="J21" s="70" t="n">
        <x:v>299000</x:v>
      </x:c>
      <x:c r="K21" s="49" t="str">
        <x:v>RACE</x:v>
      </x:c>
      <x:c r="L21" s="49" t="str">
        <x:v>SPEED_TRAINING</x:v>
      </x:c>
      <x:c r="M21" s="49" t="str">
        <x:v>SPECIALIZED</x:v>
      </x:c>
      <x:c r="N21" s="49" t="str">
        <x:v>CARBON</x:v>
      </x:c>
      <x:c r="O21" s="49" t="n">
        <x:v>28</x:v>
      </x:c>
      <x:c r="P21" s="49" t="str">
        <x:v>레이스/카본</x:v>
      </x:c>
      <x:c r="Q21" s="49" t="str">
        <x:v>DRAFT</x:v>
      </x:c>
      <x:c r="R21" s="49" t="str">
        <x:v>FALSE</x:v>
      </x:c>
      <x:c r="S21" s="55" t="b">
        <x:v>0</x:v>
      </x:c>
      <x:c r="T21" s="49" t="str">
        <x:v>https://saucony.co.kr/product/detail.html?cate_no=54&amp;display_group=1&amp;product_no=305</x:v>
      </x:c>
      <x:c r="U21" s="49" t="str">
        <x:v>https://saucony.co.kr/product/detail.html?cate_no=54&amp;display_group=1&amp;product_no=305</x:v>
      </x:c>
      <x:c r="V21" s="56" t="n">
        <x:v>46205</x:v>
      </x:c>
      <x:c r="W21" s="49" t="str">
        <x:v>product_db_v1.5</x:v>
      </x:c>
      <x:c r="X21" s="49" t="str">
        <x:v>카본 레이스 대표 라인. Score 미검증.</x:v>
      </x:c>
      <x:c r="Y21" s="48"/>
      <x:c r="Z21" s="48"/>
    </x:row>
    <x:row r="22" ht="34" customHeight="1">
      <x:c r="A22" s="49" t="str">
        <x:v>mizuno_wave_rider_29</x:v>
      </x:c>
      <x:c r="B22" s="49" t="str">
        <x:v>Mizuno</x:v>
      </x:c>
      <x:c r="C22" s="49" t="str">
        <x:v>Wave Rider</x:v>
      </x:c>
      <x:c r="D22" s="49" t="str">
        <x:v>Wave Rider</x:v>
      </x:c>
      <x:c r="E22" s="49" t="str">
        <x:v>29</x:v>
      </x:c>
      <x:c r="F22" s="49" t="str">
        <x:v>Mizuno Wave Rider 29</x:v>
      </x:c>
      <x:c r="G22" s="49" t="str">
        <x:v>KR</x:v>
      </x:c>
      <x:c r="H22" s="49" t="str">
        <x:v>KRW</x:v>
      </x:c>
      <x:c r="I22" s="70" t="n">
        <x:v>169000</x:v>
      </x:c>
      <x:c r="J22" s="70" t="n">
        <x:v>169000</x:v>
      </x:c>
      <x:c r="K22" s="49" t="str">
        <x:v>DAILY</x:v>
      </x:c>
      <x:c r="L22" s="49" t="str">
        <x:v>CUSHION_LONG</x:v>
      </x:c>
      <x:c r="M22" s="49" t="str">
        <x:v>GENERAL</x:v>
      </x:c>
      <x:c r="N22" s="49" t="str">
        <x:v>PEBAX_WAVE_PLATE</x:v>
      </x:c>
      <x:c r="O22" s="49" t="n">
        <x:v>29</x:v>
      </x:c>
      <x:c r="P22" s="49" t="str">
        <x:v>데일리/올라운드</x:v>
      </x:c>
      <x:c r="Q22" s="49" t="str">
        <x:v>DRAFT</x:v>
      </x:c>
      <x:c r="R22" s="49" t="str">
        <x:v>FALSE</x:v>
      </x:c>
      <x:c r="S22" s="55" t="b">
        <x:v>0</x:v>
      </x:c>
      <x:c r="T22" s="49" t="str">
        <x:v>https://kor.mizuno.com/product/wave-rider-29/11353/</x:v>
      </x:c>
      <x:c r="U22" s="49" t="str">
        <x:v>https://kor.mizuno.com/product/wave-rider-29/11353/</x:v>
      </x:c>
      <x:c r="V22" s="56" t="n">
        <x:v>46205</x:v>
      </x:c>
      <x:c r="W22" s="49" t="str">
        <x:v>product_db_v1.5</x:v>
      </x:c>
      <x:c r="X22" s="49" t="str">
        <x:v>표준 데일리 라인. Score 미검증.</x:v>
      </x:c>
      <x:c r="Y22" s="48"/>
      <x:c r="Z22" s="48"/>
    </x:row>
    <x:row r="23" ht="34" customHeight="1">
      <x:c r="A23" s="49" t="str">
        <x:v>mizuno_wave_inspire_22</x:v>
      </x:c>
      <x:c r="B23" s="49" t="str">
        <x:v>Mizuno</x:v>
      </x:c>
      <x:c r="C23" s="49" t="str">
        <x:v>Wave Inspire</x:v>
      </x:c>
      <x:c r="D23" s="49" t="str">
        <x:v>Wave Inspire</x:v>
      </x:c>
      <x:c r="E23" s="49" t="str">
        <x:v>22</x:v>
      </x:c>
      <x:c r="F23" s="49" t="str">
        <x:v>Mizuno Wave Inspire 22</x:v>
      </x:c>
      <x:c r="G23" s="49" t="str">
        <x:v>KR</x:v>
      </x:c>
      <x:c r="H23" s="49" t="str">
        <x:v>KRW</x:v>
      </x:c>
      <x:c r="I23" s="70" t="n">
        <x:v>169000</x:v>
      </x:c>
      <x:c r="J23" s="70" t="n">
        <x:v>169000</x:v>
      </x:c>
      <x:c r="K23" s="49" t="str">
        <x:v>STABILITY</x:v>
      </x:c>
      <x:c r="L23" s="49" t="str">
        <x:v>DAILY</x:v>
      </x:c>
      <x:c r="M23" s="49" t="str">
        <x:v>GENERAL</x:v>
      </x:c>
      <x:c r="N23" s="49" t="str">
        <x:v>WAVE_PLATE</x:v>
      </x:c>
      <x:c r="O23" s="49" t="n">
        <x:v>30</x:v>
      </x:c>
      <x:c r="P23" s="49" t="str">
        <x:v>안정화</x:v>
      </x:c>
      <x:c r="Q23" s="49" t="str">
        <x:v>DRAFT</x:v>
      </x:c>
      <x:c r="R23" s="49" t="str">
        <x:v>FALSE</x:v>
      </x:c>
      <x:c r="S23" s="55" t="b">
        <x:v>0</x:v>
      </x:c>
      <x:c r="T23" s="49" t="str">
        <x:v>https://kor.mizuno.com/product/wave-inspire-22/11361/</x:v>
      </x:c>
      <x:c r="U23" s="49" t="str">
        <x:v>https://kor.mizuno.com/product/wave-inspire-22/11361/</x:v>
      </x:c>
      <x:c r="V23" s="56" t="n">
        <x:v>46205</x:v>
      </x:c>
      <x:c r="W23" s="49" t="str">
        <x:v>product_db_v1.5</x:v>
      </x:c>
      <x:c r="X23" s="49" t="str">
        <x:v>안정화 대표 라인. Score 미검증.</x:v>
      </x:c>
      <x:c r="Y23" s="48"/>
      <x:c r="Z23" s="48"/>
    </x:row>
    <x:row r="24" ht="34" customHeight="1">
      <x:c r="A24" s="49" t="str">
        <x:v>mizuno_wave_sky_9</x:v>
      </x:c>
      <x:c r="B24" s="49" t="str">
        <x:v>Mizuno</x:v>
      </x:c>
      <x:c r="C24" s="49" t="str">
        <x:v>Wave Sky</x:v>
      </x:c>
      <x:c r="D24" s="49" t="str">
        <x:v>Wave Sky</x:v>
      </x:c>
      <x:c r="E24" s="49" t="str">
        <x:v>9</x:v>
      </x:c>
      <x:c r="F24" s="49" t="str">
        <x:v>Mizuno Wave Sky 9</x:v>
      </x:c>
      <x:c r="G24" s="49" t="str">
        <x:v>KR</x:v>
      </x:c>
      <x:c r="H24" s="49" t="str">
        <x:v>KRW</x:v>
      </x:c>
      <x:c r="I24" s="70" t="n">
        <x:v>189000</x:v>
      </x:c>
      <x:c r="J24" s="70" t="n">
        <x:v>189000</x:v>
      </x:c>
      <x:c r="K24" s="49" t="str">
        <x:v>CUSHION_LONG</x:v>
      </x:c>
      <x:c r="L24" s="49" t="str">
        <x:v>DAILY</x:v>
      </x:c>
      <x:c r="M24" s="49" t="str">
        <x:v>GENERAL</x:v>
      </x:c>
      <x:c r="N24" s="49" t="str">
        <x:v>NONE</x:v>
      </x:c>
      <x:c r="O24" s="49" t="n">
        <x:v>31</x:v>
      </x:c>
      <x:c r="P24" s="49" t="str">
        <x:v>쿠션/장거리</x:v>
      </x:c>
      <x:c r="Q24" s="49" t="str">
        <x:v>DRAFT</x:v>
      </x:c>
      <x:c r="R24" s="49" t="str">
        <x:v>FALSE</x:v>
      </x:c>
      <x:c r="S24" s="55" t="b">
        <x:v>0</x:v>
      </x:c>
      <x:c r="T24" s="49" t="str">
        <x:v>https://kor.mizuno.com/product/wave-sky-9/10667/</x:v>
      </x:c>
      <x:c r="U24" s="49" t="str">
        <x:v>https://kor.mizuno.com/product/wave-sky-9/10667/</x:v>
      </x:c>
      <x:c r="V24" s="56" t="n">
        <x:v>46205</x:v>
      </x:c>
      <x:c r="W24" s="49" t="str">
        <x:v>product_db_v1.5</x:v>
      </x:c>
      <x:c r="X24" s="49" t="str">
        <x:v>Source에 할인 하한가가 별도 존재. MSRP는 189,000원 기준.</x:v>
      </x:c>
      <x:c r="Y24" s="48"/>
      <x:c r="Z24" s="48"/>
    </x:row>
    <x:row r="25" ht="34" customHeight="1">
      <x:c r="A25" s="49" t="str">
        <x:v>mizuno_rebellion_flash_3</x:v>
      </x:c>
      <x:c r="B25" s="49" t="str">
        <x:v>Mizuno</x:v>
      </x:c>
      <x:c r="C25" s="49" t="str">
        <x:v>Wave Rebellion Flash</x:v>
      </x:c>
      <x:c r="D25" s="49" t="str">
        <x:v>Wave Rebellion Flash</x:v>
      </x:c>
      <x:c r="E25" s="49" t="str">
        <x:v>3</x:v>
      </x:c>
      <x:c r="F25" s="49" t="str">
        <x:v>Mizuno Wave Rebellion Flash 3</x:v>
      </x:c>
      <x:c r="G25" s="49" t="str">
        <x:v>KR</x:v>
      </x:c>
      <x:c r="H25" s="49" t="str">
        <x:v>KRW</x:v>
      </x:c>
      <x:c r="I25" s="70" t="n">
        <x:v>199000</x:v>
      </x:c>
      <x:c r="J25" s="70" t="n">
        <x:v>199000</x:v>
      </x:c>
      <x:c r="K25" s="49" t="str">
        <x:v>SUPER_TRAINER</x:v>
      </x:c>
      <x:c r="L25" s="49" t="str">
        <x:v>SPEED_TRAINING</x:v>
      </x:c>
      <x:c r="M25" s="49" t="str">
        <x:v>PERFORMANCE</x:v>
      </x:c>
      <x:c r="N25" s="49" t="str">
        <x:v>NYLON_FIBERGLASS_PLATE</x:v>
      </x:c>
      <x:c r="O25" s="49" t="n">
        <x:v>32</x:v>
      </x:c>
      <x:c r="P25" s="49" t="str">
        <x:v>템포/스피드훈련</x:v>
      </x:c>
      <x:c r="Q25" s="49" t="str">
        <x:v>VERIFIED</x:v>
      </x:c>
      <x:c r="R25" s="49" t="str">
        <x:v>TRUE</x:v>
      </x:c>
      <x:c r="S25" s="55" t="b">
        <x:v>1</x:v>
      </x:c>
      <x:c r="T25" s="49" t="str">
        <x:v>https://kor.mizuno.com/product/wave-rebellion-flash-3/10737</x:v>
      </x:c>
      <x:c r="U25" s="49" t="str">
        <x:v>https://kor.mizuno.com/product/wave-rebellion-flash-3/10737</x:v>
      </x:c>
      <x:c r="V25" s="56" t="n">
        <x:v>46205</x:v>
      </x:c>
      <x:c r="W25" s="49" t="str">
        <x:v>product_db_v1.5</x:v>
      </x:c>
      <x:c r="X25" s="49" t="str">
        <x:v>스피드 트레이너 / 슈퍼트레이너 성격.</x:v>
      </x:c>
      <x:c r="Y25" s="48"/>
      <x:c r="Z25" s="48"/>
    </x:row>
    <x:row r="26" ht="34" customHeight="1">
      <x:c r="A26" s="49" t="str">
        <x:v>mizuno_rebellion_pro_3</x:v>
      </x:c>
      <x:c r="B26" s="49" t="str">
        <x:v>Mizuno</x:v>
      </x:c>
      <x:c r="C26" s="49" t="str">
        <x:v>Wave Rebellion Pro</x:v>
      </x:c>
      <x:c r="D26" s="49" t="str">
        <x:v>Wave Rebellion Pro</x:v>
      </x:c>
      <x:c r="E26" s="49" t="str">
        <x:v>3</x:v>
      </x:c>
      <x:c r="F26" s="49" t="str">
        <x:v>Mizuno Wave Rebellion Pro 3</x:v>
      </x:c>
      <x:c r="G26" s="49" t="str">
        <x:v>KR</x:v>
      </x:c>
      <x:c r="H26" s="49" t="str">
        <x:v>KRW</x:v>
      </x:c>
      <x:c r="I26" s="70" t="n">
        <x:v>259000</x:v>
      </x:c>
      <x:c r="J26" s="70" t="n">
        <x:v>259000</x:v>
      </x:c>
      <x:c r="K26" s="49" t="str">
        <x:v>RACE</x:v>
      </x:c>
      <x:c r="L26" s="49" t="str">
        <x:v>SPEED_TRAINING</x:v>
      </x:c>
      <x:c r="M26" s="49" t="str">
        <x:v>SPECIALIZED</x:v>
      </x:c>
      <x:c r="N26" s="49" t="str">
        <x:v>CARBON_INFUSED_NYLON_WAVE_PLATE</x:v>
      </x:c>
      <x:c r="O26" s="49" t="n">
        <x:v>33</x:v>
      </x:c>
      <x:c r="P26" s="49" t="str">
        <x:v>레이스/카본</x:v>
      </x:c>
      <x:c r="Q26" s="49" t="str">
        <x:v>DRAFT</x:v>
      </x:c>
      <x:c r="R26" s="49" t="str">
        <x:v>FALSE</x:v>
      </x:c>
      <x:c r="S26" s="55" t="b">
        <x:v>0</x:v>
      </x:c>
      <x:c r="T26" s="49" t="str">
        <x:v>https://kor.mizuno.com/product/wave-rebellion-pro-3/10605/</x:v>
      </x:c>
      <x:c r="U26" s="49" t="str">
        <x:v>https://kor.mizuno.com/product/wave-rebellion-pro-3/10605/</x:v>
      </x:c>
      <x:c r="V26" s="56" t="n">
        <x:v>46205</x:v>
      </x:c>
      <x:c r="W26" s="49" t="str">
        <x:v>product_db_v1.5</x:v>
      </x:c>
      <x:c r="X26" s="49" t="str">
        <x:v>레이스 최상위 라인. Score 미검증.</x:v>
      </x:c>
      <x:c r="Y26" s="48"/>
      <x:c r="Z26" s="48"/>
    </x:row>
    <x:row r="27" ht="34" customHeight="1">
      <x:c r="A27" s="49" t="str">
        <x:v>puma_velocity_nitro_4</x:v>
      </x:c>
      <x:c r="B27" s="49" t="str">
        <x:v>PUMA</x:v>
      </x:c>
      <x:c r="C27" s="49" t="str">
        <x:v>Velocity NITRO</x:v>
      </x:c>
      <x:c r="D27" s="49" t="str">
        <x:v>Velocity NITRO</x:v>
      </x:c>
      <x:c r="E27" s="49" t="str">
        <x:v>4</x:v>
      </x:c>
      <x:c r="F27" s="49" t="str">
        <x:v>PUMA Velocity NITRO 4</x:v>
      </x:c>
      <x:c r="G27" s="49" t="str">
        <x:v>KR</x:v>
      </x:c>
      <x:c r="H27" s="49" t="str">
        <x:v>KRW</x:v>
      </x:c>
      <x:c r="I27" s="70" t="n">
        <x:v>179000</x:v>
      </x:c>
      <x:c r="J27" s="70" t="n">
        <x:v>179000</x:v>
      </x:c>
      <x:c r="K27" s="49" t="str">
        <x:v>DAILY</x:v>
      </x:c>
      <x:c r="L27" s="49" t="str">
        <x:v>SPEED_TRAINING</x:v>
      </x:c>
      <x:c r="M27" s="49" t="str">
        <x:v>GENERAL</x:v>
      </x:c>
      <x:c r="N27" s="49" t="str">
        <x:v>NONE</x:v>
      </x:c>
      <x:c r="O27" s="49" t="n">
        <x:v>34</x:v>
      </x:c>
      <x:c r="P27" s="49" t="str">
        <x:v>데일리/올라운드</x:v>
      </x:c>
      <x:c r="Q27" s="49" t="str">
        <x:v>DRAFT</x:v>
      </x:c>
      <x:c r="R27" s="49" t="str">
        <x:v>FALSE</x:v>
      </x:c>
      <x:c r="S27" s="55" t="b">
        <x:v>0</x:v>
      </x:c>
      <x:c r="T27" s="49" t="str">
        <x:v>https://kr.puma.com/kr/ko/pd/%EB%B2%A8%EB%A1%9C%EC%8B%9C%ED%8B%B0-%EB%82%98%EC%9D%B4%ED%8A%B8%EB%A1%9C-4-%EC%9A%B0%EB%A8%BC%EC%8A%A4-%3Cbr%3Evelocity-nitro-4-wns/311141.html</x:v>
      </x:c>
      <x:c r="U27" s="49" t="str">
        <x:v>https://kr.puma.com/kr/ko/pd/%EB%B2%A8%EB%A1%9C%EC%8B%9C%ED%8B%B0-%EB%82%98%EC%9D%B4%ED%8A%B8%EB%A1%9C-4-%EC%9A%B0%EB%A8%BC%EC%8A%A4-%3Cbr%3Evelocity-nitro-4-wns/311141.html</x:v>
      </x:c>
      <x:c r="V27" s="56" t="n">
        <x:v>46205</x:v>
      </x:c>
      <x:c r="W27" s="49" t="str">
        <x:v>product_db_v1.5</x:v>
      </x:c>
      <x:c r="X27" s="49" t="str">
        <x:v>기존 Source에 세일가 125,300원 포함. MVP 가격은 공식 정가 179,000원으로 통일.</x:v>
      </x:c>
      <x:c r="Y27" s="48"/>
      <x:c r="Z27" s="48"/>
    </x:row>
    <x:row r="28" ht="34" customHeight="1">
      <x:c r="A28" s="49" t="str">
        <x:v>puma_magmax_nitro_2</x:v>
      </x:c>
      <x:c r="B28" s="49" t="str">
        <x:v>PUMA</x:v>
      </x:c>
      <x:c r="C28" s="49" t="str">
        <x:v>MagMax NITRO</x:v>
      </x:c>
      <x:c r="D28" s="49" t="str">
        <x:v>MagMax NITRO</x:v>
      </x:c>
      <x:c r="E28" s="49" t="str">
        <x:v>2</x:v>
      </x:c>
      <x:c r="F28" s="49" t="str">
        <x:v>PUMA MagMax NITRO 2</x:v>
      </x:c>
      <x:c r="G28" s="49" t="str">
        <x:v>KR</x:v>
      </x:c>
      <x:c r="H28" s="49" t="str">
        <x:v>KRW</x:v>
      </x:c>
      <x:c r="I28" s="70" t="n">
        <x:v>239000</x:v>
      </x:c>
      <x:c r="J28" s="70" t="n">
        <x:v>239000</x:v>
      </x:c>
      <x:c r="K28" s="49" t="str">
        <x:v>CUSHION_LONG</x:v>
      </x:c>
      <x:c r="L28" s="49" t="str">
        <x:v>DAILY</x:v>
      </x:c>
      <x:c r="M28" s="49" t="str">
        <x:v>GENERAL</x:v>
      </x:c>
      <x:c r="N28" s="49" t="str">
        <x:v>NONE</x:v>
      </x:c>
      <x:c r="O28" s="49" t="n">
        <x:v>35</x:v>
      </x:c>
      <x:c r="P28" s="49" t="str">
        <x:v>쿠션/장거리</x:v>
      </x:c>
      <x:c r="Q28" s="49" t="str">
        <x:v>DRAFT</x:v>
      </x:c>
      <x:c r="R28" s="49" t="str">
        <x:v>FALSE</x:v>
      </x:c>
      <x:c r="S28" s="55" t="b">
        <x:v>0</x:v>
      </x:c>
      <x:c r="T28" s="49" t="str">
        <x:v>https://kr.puma.com/kr/ko/search?q=%EB%A7%A4%EA%B7%B8%EB%A7%A5%EC%8A%A4&amp;originalphrase=%EB%A7%A4%EA%B7%B8%EB%A7%A5%EC%8A%A4</x:v>
      </x:c>
      <x:c r="U28" s="49" t="str">
        <x:v>https://kr.puma.com/kr/ko/search?q=%EB%A7%A4%EA%B7%B8%EB%A7%A5%EC%8A%A4&amp;originalphrase=%EB%A7%A4%EA%B7%B8%EB%A7%A5%EC%8A%A4</x:v>
      </x:c>
      <x:c r="V28" s="56" t="n">
        <x:v>46205</x:v>
      </x:c>
      <x:c r="W28" s="49" t="str">
        <x:v>product_db_v1.5</x:v>
      </x:c>
      <x:c r="X28" s="49" t="str">
        <x:v>맥스 쿠션 라인. Score 미검증.</x:v>
      </x:c>
      <x:c r="Y28" s="48"/>
      <x:c r="Z28" s="48"/>
    </x:row>
    <x:row r="29" ht="34" customHeight="1">
      <x:c r="A29" s="49" t="str">
        <x:v>puma_foreverrun_nitro_2_wide</x:v>
      </x:c>
      <x:c r="B29" s="49" t="str">
        <x:v>PUMA</x:v>
      </x:c>
      <x:c r="C29" s="49" t="str">
        <x:v>ForeverRun NITRO</x:v>
      </x:c>
      <x:c r="D29" s="49" t="str">
        <x:v>ForeverRun NITRO</x:v>
      </x:c>
      <x:c r="E29" s="49" t="str">
        <x:v>2 Wide</x:v>
      </x:c>
      <x:c r="F29" s="49" t="str">
        <x:v>PUMA ForeverRun NITRO 2 Wide</x:v>
      </x:c>
      <x:c r="G29" s="49" t="str">
        <x:v>KR</x:v>
      </x:c>
      <x:c r="H29" s="49" t="str">
        <x:v>KRW</x:v>
      </x:c>
      <x:c r="I29" s="70" t="n">
        <x:v>199000</x:v>
      </x:c>
      <x:c r="J29" s="70" t="n">
        <x:v>199000</x:v>
      </x:c>
      <x:c r="K29" s="49" t="str">
        <x:v>STABILITY</x:v>
      </x:c>
      <x:c r="L29" s="49" t="str">
        <x:v>DAILY</x:v>
      </x:c>
      <x:c r="M29" s="49" t="str">
        <x:v>GENERAL</x:v>
      </x:c>
      <x:c r="N29" s="49" t="str">
        <x:v>NONE</x:v>
      </x:c>
      <x:c r="O29" s="49" t="n">
        <x:v>36</x:v>
      </x:c>
      <x:c r="P29" s="49" t="str">
        <x:v>안정화</x:v>
      </x:c>
      <x:c r="Q29" s="49" t="str">
        <x:v>DRAFT</x:v>
      </x:c>
      <x:c r="R29" s="49" t="str">
        <x:v>FALSE</x:v>
      </x:c>
      <x:c r="S29" s="55" t="b">
        <x:v>0</x:v>
      </x:c>
      <x:c r="T29" s="49" t="str">
        <x:v>https://kr.puma.com/kr/ko/pd/%ED%8F%AC%EC%97%90%EB%B2%84%EB%9F%B0-%EB%82%98%EC%9D%B4%ED%8A%B8%EB%A1%9C-2-%EC%99%80%EC%9D%B4%EB%93%9C-%3Cbr%3Eforeverrun-nitro-2-wide/311050.html</x:v>
      </x:c>
      <x:c r="U29" s="49" t="str">
        <x:v>https://kr.puma.com/kr/ko/pd/%ED%8F%AC%EC%97%90%EB%B2%84%EB%9F%B0-%EB%82%98%EC%9D%B4%ED%8A%B8%EB%A1%9C-2-%EC%99%80%EC%9D%B4%EB%93%9C-%3Cbr%3Eforeverrun-nitro-2-wide/311050.html</x:v>
      </x:c>
      <x:c r="V29" s="56" t="n">
        <x:v>46205</x:v>
      </x:c>
      <x:c r="W29" s="49" t="str">
        <x:v>product_db_v1.5</x:v>
      </x:c>
      <x:c r="X29" s="49" t="str">
        <x:v>기존 Source에 세일가 159,200원 포함. MVP 가격은 공식 정가 199,000원으로 통일.</x:v>
      </x:c>
      <x:c r="Y29" s="48"/>
      <x:c r="Z29" s="48"/>
    </x:row>
    <x:row r="30" ht="34" customHeight="1">
      <x:c r="A30" s="49" t="str">
        <x:v>puma_deviate_nitro_4</x:v>
      </x:c>
      <x:c r="B30" s="49" t="str">
        <x:v>PUMA</x:v>
      </x:c>
      <x:c r="C30" s="49" t="str">
        <x:v>Deviate NITRO</x:v>
      </x:c>
      <x:c r="D30" s="49" t="str">
        <x:v>Deviate NITRO</x:v>
      </x:c>
      <x:c r="E30" s="49" t="str">
        <x:v>4</x:v>
      </x:c>
      <x:c r="F30" s="49" t="str">
        <x:v>PUMA Deviate NITRO 4</x:v>
      </x:c>
      <x:c r="G30" s="49" t="str">
        <x:v>KR</x:v>
      </x:c>
      <x:c r="H30" s="49" t="str">
        <x:v>KRW</x:v>
      </x:c>
      <x:c r="I30" s="70" t="n">
        <x:v>219000</x:v>
      </x:c>
      <x:c r="J30" s="70" t="n">
        <x:v>219000</x:v>
      </x:c>
      <x:c r="K30" s="49" t="str">
        <x:v>SPEED_TRAINING</x:v>
      </x:c>
      <x:c r="L30" s="49" t="str">
        <x:v>DAILY|SUPER_TRAINER</x:v>
      </x:c>
      <x:c r="M30" s="49" t="str">
        <x:v>PERFORMANCE</x:v>
      </x:c>
      <x:c r="N30" s="49" t="str">
        <x:v>CARBON_COMPOSITE</x:v>
      </x:c>
      <x:c r="O30" s="49" t="n">
        <x:v>37</x:v>
      </x:c>
      <x:c r="P30" s="49" t="str">
        <x:v>템포/스피드훈련</x:v>
      </x:c>
      <x:c r="Q30" s="49" t="str">
        <x:v>VERIFIED</x:v>
      </x:c>
      <x:c r="R30" s="49" t="str">
        <x:v>TRUE</x:v>
      </x:c>
      <x:c r="S30" s="55" t="b">
        <x:v>1</x:v>
      </x:c>
      <x:c r="T30" s="49" t="str">
        <x:v>https://kr.puma.com/kr/ko/pd/%EB%94%94%EB%B9%84%EC%97%90%EC%9D%B4%ED%8A%B8-%EB%82%98%EC%9D%B4%ED%8A%B8%EB%A1%9C-4-%3Cbr%3Edeviate-nitro-4/312123.html</x:v>
      </x:c>
      <x:c r="U30" s="49" t="str">
        <x:v>https://kr.puma.com/kr/ko/pd/%EB%94%94%EB%B9%84%EC%97%90%EC%9D%B4%ED%8A%B8-%EB%82%98%EC%9D%B4%ED%8A%B8%EB%A1%9C-4-%3Cbr%3Edeviate-nitro-4/312123.html</x:v>
      </x:c>
      <x:c r="V30" s="56" t="n">
        <x:v>46205</x:v>
      </x:c>
      <x:c r="W30" s="49" t="str">
        <x:v>product_db_v1.5</x:v>
      </x:c>
      <x:c r="X30" s="49" t="str">
        <x:v>Web review recheck v1.1: 업템포/템포 중심 퍼포먼스 트레이너. MVP primary_use를 SUPER_TRAINER에서 SPEED_TRAINING으로 조정.</x:v>
      </x:c>
      <x:c r="Y30" s="48"/>
      <x:c r="Z30" s="48"/>
    </x:row>
    <x:row r="31" ht="34" customHeight="1">
      <x:c r="A31" s="49" t="str">
        <x:v>puma_fast_r_elite_3</x:v>
      </x:c>
      <x:c r="B31" s="49" t="str">
        <x:v>PUMA</x:v>
      </x:c>
      <x:c r="C31" s="49" t="str">
        <x:v>Fast-R NITRO Elite</x:v>
      </x:c>
      <x:c r="D31" s="49" t="str">
        <x:v>Fast-R NITRO Elite</x:v>
      </x:c>
      <x:c r="E31" s="49" t="str">
        <x:v>3</x:v>
      </x:c>
      <x:c r="F31" s="49" t="str">
        <x:v>PUMA Fast-R NITRO Elite 3</x:v>
      </x:c>
      <x:c r="G31" s="49" t="str">
        <x:v>KR</x:v>
      </x:c>
      <x:c r="H31" s="49" t="str">
        <x:v>KRW</x:v>
      </x:c>
      <x:c r="I31" s="70" t="n">
        <x:v>379000</x:v>
      </x:c>
      <x:c r="J31" s="70" t="n">
        <x:v>379000</x:v>
      </x:c>
      <x:c r="K31" s="49" t="str">
        <x:v>RACE</x:v>
      </x:c>
      <x:c r="L31" s="49" t="str">
        <x:v>SPEED_TRAINING</x:v>
      </x:c>
      <x:c r="M31" s="49" t="str">
        <x:v>SPECIALIZED</x:v>
      </x:c>
      <x:c r="N31" s="49" t="str">
        <x:v>CARBON</x:v>
      </x:c>
      <x:c r="O31" s="49" t="n">
        <x:v>38</x:v>
      </x:c>
      <x:c r="P31" s="49" t="str">
        <x:v>레이스/카본</x:v>
      </x:c>
      <x:c r="Q31" s="49" t="str">
        <x:v>DRAFT</x:v>
      </x:c>
      <x:c r="R31" s="49" t="str">
        <x:v>FALSE</x:v>
      </x:c>
      <x:c r="S31" s="55" t="b">
        <x:v>0</x:v>
      </x:c>
      <x:c r="T31" s="49" t="str">
        <x:v>https://kr.puma.com/kr/ko/pd/%ED%8C%A8%EC%8A%A4%ED%8A%B8%EC%95%8C-%EB%82%98%EC%9D%B4%ED%8A%B8%EB%A1%9C-%EC%97%98%EB%A6%AC%ED%8A%B8-3-%3Cbr%3Efast-r-nitro-elite-3/312060.html</x:v>
      </x:c>
      <x:c r="U31" s="49" t="str">
        <x:v>https://kr.puma.com/kr/ko/pd/%ED%8C%A8%EC%8A%A4%ED%8A%B8%EC%95%8C-%EB%82%98%EC%9D%B4%ED%8A%B8%EB%A1%9C-%EC%97%98%EB%A6%AC%ED%8A%B8-3-%3Cbr%3Efast-r-nitro-elite-3/312060.html</x:v>
      </x:c>
      <x:c r="V31" s="56" t="n">
        <x:v>46205</x:v>
      </x:c>
      <x:c r="W31" s="49" t="str">
        <x:v>product_db_v1.5</x:v>
      </x:c>
      <x:c r="X31" s="49" t="str">
        <x:v>최상급 레이스 라인. Score 미검증.</x:v>
      </x:c>
      <x:c r="Y31" s="48"/>
      <x:c r="Z31" s="48"/>
    </x:row>
    <x:row r="32" ht="34" customHeight="1">
      <x:c r="A32" s="49" t="str">
        <x:v>on_cloudrunner_3</x:v>
      </x:c>
      <x:c r="B32" s="49" t="str">
        <x:v>On</x:v>
      </x:c>
      <x:c r="C32" s="49" t="str">
        <x:v>Cloudrunner</x:v>
      </x:c>
      <x:c r="D32" s="49" t="str">
        <x:v>Cloudrunner</x:v>
      </x:c>
      <x:c r="E32" s="49" t="str">
        <x:v>3</x:v>
      </x:c>
      <x:c r="F32" s="49" t="str">
        <x:v>On Cloudrunner 3</x:v>
      </x:c>
      <x:c r="G32" s="49" t="str">
        <x:v>KR</x:v>
      </x:c>
      <x:c r="H32" s="49" t="str">
        <x:v>KRW</x:v>
      </x:c>
      <x:c r="I32" s="70" t="n">
        <x:v>199000</x:v>
      </x:c>
      <x:c r="J32" s="70" t="n">
        <x:v>199000</x:v>
      </x:c>
      <x:c r="K32" s="49" t="str">
        <x:v>STABILITY</x:v>
      </x:c>
      <x:c r="L32" s="49" t="str">
        <x:v>DAILY</x:v>
      </x:c>
      <x:c r="M32" s="49" t="str">
        <x:v>GENERAL</x:v>
      </x:c>
      <x:c r="N32" s="49" t="str">
        <x:v>NONE</x:v>
      </x:c>
      <x:c r="O32" s="49" t="n">
        <x:v>39</x:v>
      </x:c>
      <x:c r="P32" s="49" t="str">
        <x:v>데일리/입문</x:v>
      </x:c>
      <x:c r="Q32" s="49" t="str">
        <x:v>DRAFT</x:v>
      </x:c>
      <x:c r="R32" s="49" t="str">
        <x:v>FALSE</x:v>
      </x:c>
      <x:c r="S32" s="55" t="b">
        <x:v>0</x:v>
      </x:c>
      <x:c r="T32" s="49" t="str">
        <x:v>https://www.on.com/ko-kr/shop/shoes/cloudrunner</x:v>
      </x:c>
      <x:c r="U32" s="49" t="str">
        <x:v>https://www.on.com/ko-kr/shop/shoes/cloudrunner</x:v>
      </x:c>
      <x:c r="V32" s="56" t="n">
        <x:v>46205</x:v>
      </x:c>
      <x:c r="W32" s="49" t="str">
        <x:v>product_db_v1.5</x:v>
      </x:c>
      <x:c r="X32" s="49" t="str">
        <x:v>안정적인 데일리 성격. Score 미검증.</x:v>
      </x:c>
      <x:c r="Y32" s="48"/>
      <x:c r="Z32" s="48"/>
    </x:row>
    <x:row r="33" ht="34" customHeight="1">
      <x:c r="A33" s="49" t="str">
        <x:v>on_cloudsurfer_2</x:v>
      </x:c>
      <x:c r="B33" s="49" t="str">
        <x:v>On</x:v>
      </x:c>
      <x:c r="C33" s="49" t="str">
        <x:v>Cloudsurfer</x:v>
      </x:c>
      <x:c r="D33" s="49" t="str">
        <x:v>Cloudsurfer</x:v>
      </x:c>
      <x:c r="E33" s="49" t="str">
        <x:v>2</x:v>
      </x:c>
      <x:c r="F33" s="49" t="str">
        <x:v>On Cloudsurfer 2</x:v>
      </x:c>
      <x:c r="G33" s="49" t="str">
        <x:v>KR</x:v>
      </x:c>
      <x:c r="H33" s="49" t="str">
        <x:v>KRW</x:v>
      </x:c>
      <x:c r="I33" s="70" t="n">
        <x:v>199000</x:v>
      </x:c>
      <x:c r="J33" s="70" t="n">
        <x:v>199000</x:v>
      </x:c>
      <x:c r="K33" s="49" t="str">
        <x:v>DAILY</x:v>
      </x:c>
      <x:c r="L33" s="49" t="str">
        <x:v>CUSHION_LONG</x:v>
      </x:c>
      <x:c r="M33" s="49" t="str">
        <x:v>GENERAL</x:v>
      </x:c>
      <x:c r="N33" s="49" t="str">
        <x:v>NONE</x:v>
      </x:c>
      <x:c r="O33" s="49" t="n">
        <x:v>40</x:v>
      </x:c>
      <x:c r="P33" s="49" t="str">
        <x:v>데일리/올라운드</x:v>
      </x:c>
      <x:c r="Q33" s="49" t="str">
        <x:v>DRAFT</x:v>
      </x:c>
      <x:c r="R33" s="49" t="str">
        <x:v>FALSE</x:v>
      </x:c>
      <x:c r="S33" s="55" t="b">
        <x:v>0</x:v>
      </x:c>
      <x:c r="T33" s="49" t="str">
        <x:v>https://www.on.com/ko-kr/products/cloudsurfer-2-3mf1012/mens/linen-ivory-shoes-3MF10124751</x:v>
      </x:c>
      <x:c r="U33" s="49" t="str">
        <x:v>https://www.on.com/ko-kr/products/cloudsurfer-2-3mf1012/mens/linen-ivory-shoes-3MF10124751</x:v>
      </x:c>
      <x:c r="V33" s="56" t="n">
        <x:v>46205</x:v>
      </x:c>
      <x:c r="W33" s="49" t="str">
        <x:v>product_db_v1.5</x:v>
      </x:c>
      <x:c r="X33" s="49" t="str">
        <x:v>부드러운 중립 데일리. Score 미검증.</x:v>
      </x:c>
      <x:c r="Y33" s="48"/>
      <x:c r="Z33" s="48"/>
    </x:row>
    <x:row r="34" ht="34" customHeight="1">
      <x:c r="A34" s="49" t="str">
        <x:v>on_cloudmonster_3</x:v>
      </x:c>
      <x:c r="B34" s="49" t="str">
        <x:v>On</x:v>
      </x:c>
      <x:c r="C34" s="49" t="str">
        <x:v>Cloudmonster</x:v>
      </x:c>
      <x:c r="D34" s="49" t="str">
        <x:v>Cloudmonster</x:v>
      </x:c>
      <x:c r="E34" s="49" t="str">
        <x:v>3</x:v>
      </x:c>
      <x:c r="F34" s="49" t="str">
        <x:v>On Cloudmonster 3</x:v>
      </x:c>
      <x:c r="G34" s="49" t="str">
        <x:v>KR</x:v>
      </x:c>
      <x:c r="H34" s="49" t="str">
        <x:v>KRW</x:v>
      </x:c>
      <x:c r="I34" s="70" t="n">
        <x:v>229000</x:v>
      </x:c>
      <x:c r="J34" s="70" t="n">
        <x:v>229000</x:v>
      </x:c>
      <x:c r="K34" s="49" t="str">
        <x:v>DAILY</x:v>
      </x:c>
      <x:c r="L34" s="49" t="str">
        <x:v>CUSHION_LONG</x:v>
      </x:c>
      <x:c r="M34" s="49" t="str">
        <x:v>GENERAL</x:v>
      </x:c>
      <x:c r="N34" s="49" t="str">
        <x:v>TPU_SPEEDBOARD</x:v>
      </x:c>
      <x:c r="O34" s="49" t="n">
        <x:v>41</x:v>
      </x:c>
      <x:c r="P34" s="49" t="str">
        <x:v>쿠션/장거리</x:v>
      </x:c>
      <x:c r="Q34" s="49" t="str">
        <x:v>DRAFT</x:v>
      </x:c>
      <x:c r="R34" s="49" t="str">
        <x:v>FALSE</x:v>
      </x:c>
      <x:c r="S34" s="55" t="b">
        <x:v>0</x:v>
      </x:c>
      <x:c r="T34" s="49" t="str">
        <x:v>https://www.on.com/ko-kr/products/cloudmonster-3-w-3wg1003/womens/truffle-ivory-shoes-3WG10034861</x:v>
      </x:c>
      <x:c r="U34" s="49" t="str">
        <x:v>https://www.on.com/ko-kr/products/cloudmonster-3-w-3wg1003/womens/truffle-ivory-shoes-3WG10034861</x:v>
      </x:c>
      <x:c r="V34" s="56" t="n">
        <x:v>46205</x:v>
      </x:c>
      <x:c r="W34" s="49" t="str">
        <x:v>product_db_v1.5</x:v>
      </x:c>
      <x:c r="X34" s="49" t="str">
        <x:v>맥시 쿠션 성향. Score 미검증.</x:v>
      </x:c>
      <x:c r="Y34" s="48"/>
      <x:c r="Z34" s="48"/>
    </x:row>
    <x:row r="35" ht="34" customHeight="1">
      <x:c r="A35" s="49" t="str">
        <x:v>on_cloudflow_5</x:v>
      </x:c>
      <x:c r="B35" s="49" t="str">
        <x:v>On</x:v>
      </x:c>
      <x:c r="C35" s="49" t="str">
        <x:v>Cloudflow</x:v>
      </x:c>
      <x:c r="D35" s="49" t="str">
        <x:v>Cloudflow</x:v>
      </x:c>
      <x:c r="E35" s="49" t="str">
        <x:v>5</x:v>
      </x:c>
      <x:c r="F35" s="49" t="str">
        <x:v>On Cloudflow 5</x:v>
      </x:c>
      <x:c r="G35" s="49" t="str">
        <x:v>KR</x:v>
      </x:c>
      <x:c r="H35" s="49" t="str">
        <x:v>KRW</x:v>
      </x:c>
      <x:c r="I35" s="70" t="n">
        <x:v>219000</x:v>
      </x:c>
      <x:c r="J35" s="70" t="n">
        <x:v>219000</x:v>
      </x:c>
      <x:c r="K35" s="49" t="str">
        <x:v>SPEED_TRAINING</x:v>
      </x:c>
      <x:c r="L35" s="49" t="str">
        <x:v>DAILY</x:v>
      </x:c>
      <x:c r="M35" s="49" t="str">
        <x:v>PERFORMANCE</x:v>
      </x:c>
      <x:c r="N35" s="49" t="str">
        <x:v>NYLON_FIBERGLASS_SPEEDBOARD</x:v>
      </x:c>
      <x:c r="O35" s="49" t="n">
        <x:v>42</x:v>
      </x:c>
      <x:c r="P35" s="49" t="str">
        <x:v>템포/스피드훈련</x:v>
      </x:c>
      <x:c r="Q35" s="49" t="str">
        <x:v>DRAFT</x:v>
      </x:c>
      <x:c r="R35" s="49" t="str">
        <x:v>FALSE</x:v>
      </x:c>
      <x:c r="S35" s="55" t="b">
        <x:v>0</x:v>
      </x:c>
      <x:c r="T35" s="49" t="str">
        <x:v>https://www.on.com/ko-kr/products/cloudflow-5-w-3wf1009/womens/juniper-ice-shoes-3WF10094851</x:v>
      </x:c>
      <x:c r="U35" s="49" t="str">
        <x:v>https://www.on.com/ko-kr/products/cloudflow-5-w-3wf1009/womens/juniper-ice-shoes-3WF10094851</x:v>
      </x:c>
      <x:c r="V35" s="56" t="n">
        <x:v>46205</x:v>
      </x:c>
      <x:c r="W35" s="49" t="str">
        <x:v>product_db_v1.5</x:v>
      </x:c>
      <x:c r="X35" s="49" t="str">
        <x:v>템포/인터벌 성격. Score 미검증.</x:v>
      </x:c>
      <x:c r="Y35" s="48"/>
      <x:c r="Z35" s="48"/>
    </x:row>
    <x:row r="36" ht="34" customHeight="1">
      <x:c r="A36" s="49" t="str">
        <x:v>on_cloudboom_strike</x:v>
      </x:c>
      <x:c r="B36" s="49" t="str">
        <x:v>On</x:v>
      </x:c>
      <x:c r="C36" s="49" t="str">
        <x:v>Cloudboom Strike</x:v>
      </x:c>
      <x:c r="D36" s="49" t="str">
        <x:v>Cloudboom Strike</x:v>
      </x:c>
      <x:c r="E36" s="49" t="str"/>
      <x:c r="F36" s="49" t="str">
        <x:v>On Cloudboom Strike</x:v>
      </x:c>
      <x:c r="G36" s="49" t="str">
        <x:v>KR</x:v>
      </x:c>
      <x:c r="H36" s="49" t="str">
        <x:v>KRW</x:v>
      </x:c>
      <x:c r="I36" s="70" t="n">
        <x:v>329000</x:v>
      </x:c>
      <x:c r="J36" s="70" t="n">
        <x:v>329000</x:v>
      </x:c>
      <x:c r="K36" s="49" t="str">
        <x:v>RACE</x:v>
      </x:c>
      <x:c r="L36" s="49" t="str">
        <x:v>SPEED_TRAINING</x:v>
      </x:c>
      <x:c r="M36" s="49" t="str">
        <x:v>SPECIALIZED</x:v>
      </x:c>
      <x:c r="N36" s="49" t="str">
        <x:v>CARBON_SPEEDBOARD</x:v>
      </x:c>
      <x:c r="O36" s="49" t="n">
        <x:v>43</x:v>
      </x:c>
      <x:c r="P36" s="49" t="str">
        <x:v>레이스/카본</x:v>
      </x:c>
      <x:c r="Q36" s="49" t="str">
        <x:v>DRAFT</x:v>
      </x:c>
      <x:c r="R36" s="49" t="str">
        <x:v>FALSE</x:v>
      </x:c>
      <x:c r="S36" s="55" t="b">
        <x:v>0</x:v>
      </x:c>
      <x:c r="T36" s="49" t="str">
        <x:v>https://www.on.com/ko-kr/products/cloudboom-strike-3me3048/mens/juniper-limelight-shoes-3ME30484834</x:v>
      </x:c>
      <x:c r="U36" s="49" t="str">
        <x:v>https://www.on.com/ko-kr/products/cloudboom-strike-3me3048/mens/juniper-limelight-shoes-3ME30484834</x:v>
      </x:c>
      <x:c r="V36" s="56" t="n">
        <x:v>46205</x:v>
      </x:c>
      <x:c r="W36" s="49" t="str">
        <x:v>product_db_v1.5</x:v>
      </x:c>
      <x:c r="X36" s="49" t="str">
        <x:v>레이스 고성능 모델. Score 미검증.</x:v>
      </x:c>
      <x:c r="Y36" s="48"/>
      <x:c r="Z36" s="48"/>
    </x:row>
    <x:row r="37" ht="34" customHeight="1">
      <x:c r="A37" s="49"/>
      <x:c r="B37" s="49"/>
      <x:c r="C37" s="49"/>
      <x:c r="D37" s="49"/>
      <x:c r="E37" s="49"/>
      <x:c r="F37" s="49"/>
      <x:c r="G37" s="49"/>
      <x:c r="H37" s="49"/>
      <x:c r="I37" s="54"/>
      <x:c r="J37" s="49"/>
      <x:c r="K37" s="49"/>
      <x:c r="L37" s="49"/>
      <x:c r="M37" s="49"/>
      <x:c r="N37" s="49"/>
      <x:c r="O37" s="49"/>
      <x:c r="P37" s="49"/>
      <x:c r="Q37" s="49"/>
      <x:c r="R37" s="49"/>
      <x:c r="S37" s="49"/>
      <x:c r="T37" s="49"/>
      <x:c r="U37" s="49"/>
      <x:c r="V37" s="56"/>
      <x:c r="W37" s="49"/>
      <x:c r="X37" s="49"/>
      <x:c r="Y37" s="48"/>
      <x:c r="Z37" s="48"/>
    </x:row>
    <x:row r="38" ht="34" customHeight="1">
      <x:c r="A38" s="49"/>
      <x:c r="B38" s="49"/>
      <x:c r="C38" s="49"/>
      <x:c r="D38" s="49"/>
      <x:c r="E38" s="49"/>
      <x:c r="F38" s="49"/>
      <x:c r="G38" s="49"/>
      <x:c r="H38" s="49"/>
      <x:c r="I38" s="54"/>
      <x:c r="J38" s="49"/>
      <x:c r="K38" s="49"/>
      <x:c r="L38" s="49"/>
      <x:c r="M38" s="49"/>
      <x:c r="N38" s="49"/>
      <x:c r="O38" s="49"/>
      <x:c r="P38" s="49"/>
      <x:c r="Q38" s="49"/>
      <x:c r="R38" s="49"/>
      <x:c r="S38" s="49"/>
      <x:c r="T38" s="49"/>
      <x:c r="U38" s="49"/>
      <x:c r="V38" s="56"/>
      <x:c r="W38" s="49"/>
      <x:c r="X38" s="49"/>
      <x:c r="Y38" s="48"/>
      <x:c r="Z38" s="48"/>
    </x:row>
    <x:row r="39" ht="34" customHeight="1">
      <x:c r="A39" s="49"/>
      <x:c r="B39" s="49"/>
      <x:c r="C39" s="49"/>
      <x:c r="D39" s="49"/>
      <x:c r="E39" s="49"/>
      <x:c r="F39" s="49"/>
      <x:c r="G39" s="49"/>
      <x:c r="H39" s="49"/>
      <x:c r="I39" s="54"/>
      <x:c r="J39" s="49"/>
      <x:c r="K39" s="49"/>
      <x:c r="L39" s="49"/>
      <x:c r="M39" s="49"/>
      <x:c r="N39" s="49"/>
      <x:c r="O39" s="49"/>
      <x:c r="P39" s="49"/>
      <x:c r="Q39" s="49"/>
      <x:c r="R39" s="49"/>
      <x:c r="S39" s="49"/>
      <x:c r="T39" s="49"/>
      <x:c r="U39" s="49"/>
      <x:c r="V39" s="56"/>
      <x:c r="W39" s="49"/>
      <x:c r="X39" s="49"/>
      <x:c r="Y39" s="48"/>
      <x:c r="Z39" s="48"/>
    </x:row>
    <x:row r="40" ht="34" customHeight="1">
      <x:c r="A40" s="49"/>
      <x:c r="B40" s="49"/>
      <x:c r="C40" s="49"/>
      <x:c r="D40" s="49"/>
      <x:c r="E40" s="49"/>
      <x:c r="F40" s="49"/>
      <x:c r="G40" s="49"/>
      <x:c r="H40" s="49"/>
      <x:c r="I40" s="54"/>
      <x:c r="J40" s="49"/>
      <x:c r="K40" s="49"/>
      <x:c r="L40" s="49"/>
      <x:c r="M40" s="49"/>
      <x:c r="N40" s="49"/>
      <x:c r="O40" s="49"/>
      <x:c r="P40" s="49"/>
      <x:c r="Q40" s="49"/>
      <x:c r="R40" s="49"/>
      <x:c r="S40" s="49"/>
      <x:c r="T40" s="49"/>
      <x:c r="U40" s="49"/>
      <x:c r="V40" s="56"/>
      <x:c r="W40" s="49"/>
      <x:c r="X40" s="49"/>
      <x:c r="Y40" s="48"/>
      <x:c r="Z40" s="48"/>
    </x:row>
    <x:row r="41" ht="34" customHeight="1">
      <x:c r="A41" s="49"/>
      <x:c r="B41" s="49"/>
      <x:c r="C41" s="49"/>
      <x:c r="D41" s="49"/>
      <x:c r="E41" s="49"/>
      <x:c r="F41" s="49"/>
      <x:c r="G41" s="49"/>
      <x:c r="H41" s="49"/>
      <x:c r="I41" s="54"/>
      <x:c r="J41" s="49"/>
      <x:c r="K41" s="49"/>
      <x:c r="L41" s="49"/>
      <x:c r="M41" s="49"/>
      <x:c r="N41" s="49"/>
      <x:c r="O41" s="49"/>
      <x:c r="P41" s="49"/>
      <x:c r="Q41" s="49"/>
      <x:c r="R41" s="49"/>
      <x:c r="S41" s="49"/>
      <x:c r="T41" s="49"/>
      <x:c r="U41" s="49"/>
      <x:c r="V41" s="56"/>
      <x:c r="W41" s="49"/>
      <x:c r="X41" s="49"/>
      <x:c r="Y41" s="48"/>
      <x:c r="Z41" s="48"/>
    </x:row>
    <x:row r="42" ht="34" customHeight="1">
      <x:c r="A42" s="49"/>
      <x:c r="B42" s="49"/>
      <x:c r="C42" s="49"/>
      <x:c r="D42" s="49"/>
      <x:c r="E42" s="49"/>
      <x:c r="F42" s="49"/>
      <x:c r="G42" s="49"/>
      <x:c r="H42" s="49"/>
      <x:c r="I42" s="54"/>
      <x:c r="J42" s="49"/>
      <x:c r="K42" s="49"/>
      <x:c r="L42" s="49"/>
      <x:c r="M42" s="49"/>
      <x:c r="N42" s="49"/>
      <x:c r="O42" s="49"/>
      <x:c r="P42" s="49"/>
      <x:c r="Q42" s="49"/>
      <x:c r="R42" s="49"/>
      <x:c r="S42" s="49"/>
      <x:c r="T42" s="49"/>
      <x:c r="U42" s="49"/>
      <x:c r="V42" s="56"/>
      <x:c r="W42" s="49"/>
      <x:c r="X42" s="49"/>
      <x:c r="Y42" s="48"/>
      <x:c r="Z42" s="48"/>
    </x:row>
    <x:row r="43" ht="34" customHeight="1">
      <x:c r="A43" s="49"/>
      <x:c r="B43" s="49"/>
      <x:c r="C43" s="49"/>
      <x:c r="D43" s="49"/>
      <x:c r="E43" s="49"/>
      <x:c r="F43" s="49"/>
      <x:c r="G43" s="49"/>
      <x:c r="H43" s="49"/>
      <x:c r="I43" s="54"/>
      <x:c r="J43" s="49"/>
      <x:c r="K43" s="49"/>
      <x:c r="L43" s="49"/>
      <x:c r="M43" s="49"/>
      <x:c r="N43" s="49"/>
      <x:c r="O43" s="49"/>
      <x:c r="P43" s="49"/>
      <x:c r="Q43" s="49"/>
      <x:c r="R43" s="49"/>
      <x:c r="S43" s="49"/>
      <x:c r="T43" s="49"/>
      <x:c r="U43" s="49"/>
      <x:c r="V43" s="56"/>
      <x:c r="W43" s="49"/>
      <x:c r="X43" s="49"/>
      <x:c r="Y43" s="48"/>
      <x:c r="Z43" s="48"/>
    </x:row>
    <x:row r="44" ht="34" customHeight="1">
      <x:c r="A44" s="49"/>
      <x:c r="B44" s="49"/>
      <x:c r="C44" s="49"/>
      <x:c r="D44" s="49"/>
      <x:c r="E44" s="49"/>
      <x:c r="F44" s="49"/>
      <x:c r="G44" s="49"/>
      <x:c r="H44" s="49"/>
      <x:c r="I44" s="54"/>
      <x:c r="J44" s="49"/>
      <x:c r="K44" s="49"/>
      <x:c r="L44" s="49"/>
      <x:c r="M44" s="49"/>
      <x:c r="N44" s="49"/>
      <x:c r="O44" s="49"/>
      <x:c r="P44" s="49"/>
      <x:c r="Q44" s="49"/>
      <x:c r="R44" s="49"/>
      <x:c r="S44" s="49"/>
      <x:c r="T44" s="49"/>
      <x:c r="U44" s="49"/>
      <x:c r="V44" s="56"/>
      <x:c r="W44" s="49"/>
      <x:c r="X44" s="49"/>
      <x:c r="Y44" s="48"/>
      <x:c r="Z44" s="48"/>
    </x:row>
    <x:row r="45" ht="34" customHeight="1">
      <x:c r="A45" s="49"/>
      <x:c r="B45" s="49"/>
      <x:c r="C45" s="49"/>
      <x:c r="D45" s="49"/>
      <x:c r="E45" s="49"/>
      <x:c r="F45" s="49"/>
      <x:c r="G45" s="49"/>
      <x:c r="H45" s="49"/>
      <x:c r="I45" s="54"/>
      <x:c r="J45" s="49"/>
      <x:c r="K45" s="49"/>
      <x:c r="L45" s="49"/>
      <x:c r="M45" s="49"/>
      <x:c r="N45" s="49"/>
      <x:c r="O45" s="49"/>
      <x:c r="P45" s="49"/>
      <x:c r="Q45" s="49"/>
      <x:c r="R45" s="49"/>
      <x:c r="S45" s="49"/>
      <x:c r="T45" s="49"/>
      <x:c r="U45" s="49"/>
      <x:c r="V45" s="56"/>
      <x:c r="W45" s="49"/>
      <x:c r="X45" s="49"/>
      <x:c r="Y45" s="48"/>
      <x:c r="Z45" s="48"/>
    </x:row>
    <x:row r="46" ht="34" customHeight="1">
      <x:c r="A46" s="49"/>
      <x:c r="B46" s="49"/>
      <x:c r="C46" s="49"/>
      <x:c r="D46" s="49"/>
      <x:c r="E46" s="49"/>
      <x:c r="F46" s="49"/>
      <x:c r="G46" s="49"/>
      <x:c r="H46" s="49"/>
      <x:c r="I46" s="54"/>
      <x:c r="J46" s="49"/>
      <x:c r="K46" s="49"/>
      <x:c r="L46" s="49"/>
      <x:c r="M46" s="49"/>
      <x:c r="N46" s="49"/>
      <x:c r="O46" s="49"/>
      <x:c r="P46" s="49"/>
      <x:c r="Q46" s="49"/>
      <x:c r="R46" s="49"/>
      <x:c r="S46" s="49"/>
      <x:c r="T46" s="49"/>
      <x:c r="U46" s="49"/>
      <x:c r="V46" s="56"/>
      <x:c r="W46" s="49"/>
      <x:c r="X46" s="49"/>
      <x:c r="Y46" s="48"/>
      <x:c r="Z46" s="48"/>
    </x:row>
    <x:row r="47" ht="34" customHeight="1">
      <x:c r="A47" s="49"/>
      <x:c r="B47" s="49"/>
      <x:c r="C47" s="49"/>
      <x:c r="D47" s="49"/>
      <x:c r="E47" s="49"/>
      <x:c r="F47" s="49"/>
      <x:c r="G47" s="49"/>
      <x:c r="H47" s="49"/>
      <x:c r="I47" s="54"/>
      <x:c r="J47" s="49"/>
      <x:c r="K47" s="49"/>
      <x:c r="L47" s="49"/>
      <x:c r="M47" s="49"/>
      <x:c r="N47" s="49"/>
      <x:c r="O47" s="49"/>
      <x:c r="P47" s="49"/>
      <x:c r="Q47" s="49"/>
      <x:c r="R47" s="49"/>
      <x:c r="S47" s="49"/>
      <x:c r="T47" s="49"/>
      <x:c r="U47" s="49"/>
      <x:c r="V47" s="56"/>
      <x:c r="W47" s="49"/>
      <x:c r="X47" s="49"/>
      <x:c r="Y47" s="48"/>
      <x:c r="Z47" s="48"/>
    </x:row>
    <x:row r="48" ht="34" customHeight="1">
      <x:c r="A48" s="49"/>
      <x:c r="B48" s="49"/>
      <x:c r="C48" s="49"/>
      <x:c r="D48" s="49"/>
      <x:c r="E48" s="49"/>
      <x:c r="F48" s="49"/>
      <x:c r="G48" s="49"/>
      <x:c r="H48" s="49"/>
      <x:c r="I48" s="54"/>
      <x:c r="J48" s="49"/>
      <x:c r="K48" s="49"/>
      <x:c r="L48" s="49"/>
      <x:c r="M48" s="49"/>
      <x:c r="N48" s="49"/>
      <x:c r="O48" s="49"/>
      <x:c r="P48" s="49"/>
      <x:c r="Q48" s="49"/>
      <x:c r="R48" s="49"/>
      <x:c r="S48" s="49"/>
      <x:c r="T48" s="49"/>
      <x:c r="U48" s="49"/>
      <x:c r="V48" s="56"/>
      <x:c r="W48" s="49"/>
      <x:c r="X48" s="49"/>
      <x:c r="Y48" s="48"/>
      <x:c r="Z48" s="48"/>
    </x:row>
    <x:row r="49" ht="34" customHeight="1">
      <x:c r="A49" s="49"/>
      <x:c r="B49" s="49"/>
      <x:c r="C49" s="49"/>
      <x:c r="D49" s="49"/>
      <x:c r="E49" s="49"/>
      <x:c r="F49" s="49"/>
      <x:c r="G49" s="49"/>
      <x:c r="H49" s="49"/>
      <x:c r="I49" s="54"/>
      <x:c r="J49" s="49"/>
      <x:c r="K49" s="49"/>
      <x:c r="L49" s="49"/>
      <x:c r="M49" s="49"/>
      <x:c r="N49" s="49"/>
      <x:c r="O49" s="49"/>
      <x:c r="P49" s="49"/>
      <x:c r="Q49" s="49"/>
      <x:c r="R49" s="49"/>
      <x:c r="S49" s="49"/>
      <x:c r="T49" s="49"/>
      <x:c r="U49" s="49"/>
      <x:c r="V49" s="56"/>
      <x:c r="W49" s="49"/>
      <x:c r="X49" s="49"/>
      <x:c r="Y49" s="48"/>
      <x:c r="Z49" s="48"/>
    </x:row>
    <x:row r="50" ht="34" customHeight="1">
      <x:c r="A50" s="49"/>
      <x:c r="B50" s="49"/>
      <x:c r="C50" s="49"/>
      <x:c r="D50" s="49"/>
      <x:c r="E50" s="49"/>
      <x:c r="F50" s="49"/>
      <x:c r="G50" s="49"/>
      <x:c r="H50" s="49"/>
      <x:c r="I50" s="54"/>
      <x:c r="J50" s="49"/>
      <x:c r="K50" s="49"/>
      <x:c r="L50" s="49"/>
      <x:c r="M50" s="49"/>
      <x:c r="N50" s="49"/>
      <x:c r="O50" s="49"/>
      <x:c r="P50" s="49"/>
      <x:c r="Q50" s="49"/>
      <x:c r="R50" s="49"/>
      <x:c r="S50" s="49"/>
      <x:c r="T50" s="49"/>
      <x:c r="U50" s="49"/>
      <x:c r="V50" s="56"/>
      <x:c r="W50" s="49"/>
      <x:c r="X50" s="49"/>
      <x:c r="Y50" s="48"/>
      <x:c r="Z50" s="48"/>
    </x:row>
    <x:row r="51" ht="34" customHeight="1">
      <x:c r="A51" s="49"/>
      <x:c r="B51" s="49"/>
      <x:c r="C51" s="49"/>
      <x:c r="D51" s="49"/>
      <x:c r="E51" s="49"/>
      <x:c r="F51" s="49"/>
      <x:c r="G51" s="49"/>
      <x:c r="H51" s="49"/>
      <x:c r="I51" s="54"/>
      <x:c r="J51" s="49"/>
      <x:c r="K51" s="49"/>
      <x:c r="L51" s="49"/>
      <x:c r="M51" s="49"/>
      <x:c r="N51" s="49"/>
      <x:c r="O51" s="49"/>
      <x:c r="P51" s="49"/>
      <x:c r="Q51" s="49"/>
      <x:c r="R51" s="49"/>
      <x:c r="S51" s="49"/>
      <x:c r="T51" s="49"/>
      <x:c r="U51" s="49"/>
      <x:c r="V51" s="56"/>
      <x:c r="W51" s="49"/>
      <x:c r="X51" s="49"/>
      <x:c r="Y51" s="48"/>
      <x:c r="Z51" s="48"/>
    </x:row>
    <x:row r="52" ht="34" customHeight="1">
      <x:c r="A52" s="49"/>
      <x:c r="B52" s="49"/>
      <x:c r="C52" s="49"/>
      <x:c r="D52" s="49"/>
      <x:c r="E52" s="49"/>
      <x:c r="F52" s="49"/>
      <x:c r="G52" s="49"/>
      <x:c r="H52" s="49"/>
      <x:c r="I52" s="54"/>
      <x:c r="J52" s="49"/>
      <x:c r="K52" s="49"/>
      <x:c r="L52" s="49"/>
      <x:c r="M52" s="49"/>
      <x:c r="N52" s="49"/>
      <x:c r="O52" s="49"/>
      <x:c r="P52" s="49"/>
      <x:c r="Q52" s="49"/>
      <x:c r="R52" s="49"/>
      <x:c r="S52" s="49"/>
      <x:c r="T52" s="49"/>
      <x:c r="U52" s="49"/>
      <x:c r="V52" s="56"/>
      <x:c r="W52" s="49"/>
      <x:c r="X52" s="49"/>
      <x:c r="Y52" s="48"/>
      <x:c r="Z52" s="48"/>
    </x:row>
    <x:row r="53" ht="34" customHeight="1">
      <x:c r="A53" s="49"/>
      <x:c r="B53" s="49"/>
      <x:c r="C53" s="49"/>
      <x:c r="D53" s="49"/>
      <x:c r="E53" s="49"/>
      <x:c r="F53" s="49"/>
      <x:c r="G53" s="49"/>
      <x:c r="H53" s="49"/>
      <x:c r="I53" s="54"/>
      <x:c r="J53" s="49"/>
      <x:c r="K53" s="49"/>
      <x:c r="L53" s="49"/>
      <x:c r="M53" s="49"/>
      <x:c r="N53" s="49"/>
      <x:c r="O53" s="49"/>
      <x:c r="P53" s="49"/>
      <x:c r="Q53" s="49"/>
      <x:c r="R53" s="49"/>
      <x:c r="S53" s="49"/>
      <x:c r="T53" s="49"/>
      <x:c r="U53" s="49"/>
      <x:c r="V53" s="56"/>
      <x:c r="W53" s="49"/>
      <x:c r="X53" s="49"/>
      <x:c r="Y53" s="48"/>
      <x:c r="Z53" s="48"/>
    </x:row>
    <x:row r="54" ht="34" customHeight="1">
      <x:c r="A54" s="49"/>
      <x:c r="B54" s="49"/>
      <x:c r="C54" s="49"/>
      <x:c r="D54" s="49"/>
      <x:c r="E54" s="49"/>
      <x:c r="F54" s="49"/>
      <x:c r="G54" s="49"/>
      <x:c r="H54" s="49"/>
      <x:c r="I54" s="54"/>
      <x:c r="J54" s="49"/>
      <x:c r="K54" s="49"/>
      <x:c r="L54" s="49"/>
      <x:c r="M54" s="49"/>
      <x:c r="N54" s="49"/>
      <x:c r="O54" s="49"/>
      <x:c r="P54" s="49"/>
      <x:c r="Q54" s="49"/>
      <x:c r="R54" s="49"/>
      <x:c r="S54" s="49"/>
      <x:c r="T54" s="49"/>
      <x:c r="U54" s="49"/>
      <x:c r="V54" s="56"/>
      <x:c r="W54" s="49"/>
      <x:c r="X54" s="49"/>
      <x:c r="Y54" s="48"/>
      <x:c r="Z54" s="48"/>
    </x:row>
    <x:row r="55" ht="34" customHeight="1">
      <x:c r="A55" s="49"/>
      <x:c r="B55" s="49"/>
      <x:c r="C55" s="49"/>
      <x:c r="D55" s="49"/>
      <x:c r="E55" s="49"/>
      <x:c r="F55" s="49"/>
      <x:c r="G55" s="49"/>
      <x:c r="H55" s="49"/>
      <x:c r="I55" s="54"/>
      <x:c r="J55" s="49"/>
      <x:c r="K55" s="49"/>
      <x:c r="L55" s="49"/>
      <x:c r="M55" s="49"/>
      <x:c r="N55" s="49"/>
      <x:c r="O55" s="49"/>
      <x:c r="P55" s="49"/>
      <x:c r="Q55" s="49"/>
      <x:c r="R55" s="49"/>
      <x:c r="S55" s="49"/>
      <x:c r="T55" s="49"/>
      <x:c r="U55" s="49"/>
      <x:c r="V55" s="56"/>
      <x:c r="W55" s="49"/>
      <x:c r="X55" s="49"/>
      <x:c r="Y55" s="48"/>
      <x:c r="Z55" s="48"/>
    </x:row>
    <x:row r="56" ht="34" customHeight="1">
      <x:c r="A56" s="49"/>
      <x:c r="B56" s="49"/>
      <x:c r="C56" s="49"/>
      <x:c r="D56" s="49"/>
      <x:c r="E56" s="49"/>
      <x:c r="F56" s="49"/>
      <x:c r="G56" s="49"/>
      <x:c r="H56" s="49"/>
      <x:c r="I56" s="54"/>
      <x:c r="J56" s="49"/>
      <x:c r="K56" s="49"/>
      <x:c r="L56" s="49"/>
      <x:c r="M56" s="49"/>
      <x:c r="N56" s="49"/>
      <x:c r="O56" s="49"/>
      <x:c r="P56" s="49"/>
      <x:c r="Q56" s="49"/>
      <x:c r="R56" s="49"/>
      <x:c r="S56" s="49"/>
      <x:c r="T56" s="49"/>
      <x:c r="U56" s="49"/>
      <x:c r="V56" s="56"/>
      <x:c r="W56" s="49"/>
      <x:c r="X56" s="49"/>
      <x:c r="Y56" s="48"/>
      <x:c r="Z56" s="48"/>
    </x:row>
    <x:row r="57" ht="34" customHeight="1">
      <x:c r="A57" s="49"/>
      <x:c r="B57" s="49"/>
      <x:c r="C57" s="49"/>
      <x:c r="D57" s="49"/>
      <x:c r="E57" s="49"/>
      <x:c r="F57" s="49"/>
      <x:c r="G57" s="49"/>
      <x:c r="H57" s="49"/>
      <x:c r="I57" s="54"/>
      <x:c r="J57" s="49"/>
      <x:c r="K57" s="49"/>
      <x:c r="L57" s="49"/>
      <x:c r="M57" s="49"/>
      <x:c r="N57" s="49"/>
      <x:c r="O57" s="49"/>
      <x:c r="P57" s="49"/>
      <x:c r="Q57" s="49"/>
      <x:c r="R57" s="49"/>
      <x:c r="S57" s="49"/>
      <x:c r="T57" s="49"/>
      <x:c r="U57" s="49"/>
      <x:c r="V57" s="56"/>
      <x:c r="W57" s="49"/>
      <x:c r="X57" s="49"/>
      <x:c r="Y57" s="48"/>
      <x:c r="Z57" s="48"/>
    </x:row>
    <x:row r="58" ht="34" customHeight="1">
      <x:c r="A58" s="49"/>
      <x:c r="B58" s="49"/>
      <x:c r="C58" s="49"/>
      <x:c r="D58" s="49"/>
      <x:c r="E58" s="49"/>
      <x:c r="F58" s="49"/>
      <x:c r="G58" s="49"/>
      <x:c r="H58" s="49"/>
      <x:c r="I58" s="54"/>
      <x:c r="J58" s="49"/>
      <x:c r="K58" s="49"/>
      <x:c r="L58" s="49"/>
      <x:c r="M58" s="49"/>
      <x:c r="N58" s="49"/>
      <x:c r="O58" s="49"/>
      <x:c r="P58" s="49"/>
      <x:c r="Q58" s="49"/>
      <x:c r="R58" s="49"/>
      <x:c r="S58" s="49"/>
      <x:c r="T58" s="49"/>
      <x:c r="U58" s="49"/>
      <x:c r="V58" s="56"/>
      <x:c r="W58" s="49"/>
      <x:c r="X58" s="49"/>
      <x:c r="Y58" s="48"/>
      <x:c r="Z58" s="48"/>
    </x:row>
    <x:row r="59" ht="34" customHeight="1">
      <x:c r="A59" s="49"/>
      <x:c r="B59" s="49"/>
      <x:c r="C59" s="49"/>
      <x:c r="D59" s="49"/>
      <x:c r="E59" s="49"/>
      <x:c r="F59" s="49"/>
      <x:c r="G59" s="49"/>
      <x:c r="H59" s="49"/>
      <x:c r="I59" s="54"/>
      <x:c r="J59" s="49"/>
      <x:c r="K59" s="49"/>
      <x:c r="L59" s="49"/>
      <x:c r="M59" s="49"/>
      <x:c r="N59" s="49"/>
      <x:c r="O59" s="49"/>
      <x:c r="P59" s="49"/>
      <x:c r="Q59" s="49"/>
      <x:c r="R59" s="49"/>
      <x:c r="S59" s="49"/>
      <x:c r="T59" s="49"/>
      <x:c r="U59" s="49"/>
      <x:c r="V59" s="56"/>
      <x:c r="W59" s="49"/>
      <x:c r="X59" s="49"/>
      <x:c r="Y59" s="48"/>
      <x:c r="Z59" s="48"/>
    </x:row>
    <x:row r="60" ht="34" customHeight="1">
      <x:c r="A60" s="49"/>
      <x:c r="B60" s="49"/>
      <x:c r="C60" s="49"/>
      <x:c r="D60" s="49"/>
      <x:c r="E60" s="49"/>
      <x:c r="F60" s="49"/>
      <x:c r="G60" s="49"/>
      <x:c r="H60" s="49"/>
      <x:c r="I60" s="54"/>
      <x:c r="J60" s="49"/>
      <x:c r="K60" s="49"/>
      <x:c r="L60" s="49"/>
      <x:c r="M60" s="49"/>
      <x:c r="N60" s="49"/>
      <x:c r="O60" s="49"/>
      <x:c r="P60" s="49"/>
      <x:c r="Q60" s="49"/>
      <x:c r="R60" s="49"/>
      <x:c r="S60" s="49"/>
      <x:c r="T60" s="49"/>
      <x:c r="U60" s="49"/>
      <x:c r="V60" s="56"/>
      <x:c r="W60" s="49"/>
      <x:c r="X60" s="49"/>
      <x:c r="Y60" s="48"/>
      <x:c r="Z60" s="48"/>
    </x:row>
    <x:row r="61" ht="34" customHeight="1">
      <x:c r="A61" s="49"/>
      <x:c r="B61" s="49"/>
      <x:c r="C61" s="49"/>
      <x:c r="D61" s="49"/>
      <x:c r="E61" s="49"/>
      <x:c r="F61" s="49"/>
      <x:c r="G61" s="49"/>
      <x:c r="H61" s="49"/>
      <x:c r="I61" s="54"/>
      <x:c r="J61" s="49"/>
      <x:c r="K61" s="49"/>
      <x:c r="L61" s="49"/>
      <x:c r="M61" s="49"/>
      <x:c r="N61" s="49"/>
      <x:c r="O61" s="49"/>
      <x:c r="P61" s="49"/>
      <x:c r="Q61" s="49"/>
      <x:c r="R61" s="49"/>
      <x:c r="S61" s="49"/>
      <x:c r="T61" s="49"/>
      <x:c r="U61" s="49"/>
      <x:c r="V61" s="56"/>
      <x:c r="W61" s="49"/>
      <x:c r="X61" s="49"/>
      <x:c r="Y61" s="48"/>
      <x:c r="Z61" s="48"/>
    </x:row>
    <x:row r="62" ht="34" customHeight="1">
      <x:c r="A62" s="49"/>
      <x:c r="B62" s="49"/>
      <x:c r="C62" s="49"/>
      <x:c r="D62" s="49"/>
      <x:c r="E62" s="49"/>
      <x:c r="F62" s="49"/>
      <x:c r="G62" s="49"/>
      <x:c r="H62" s="49"/>
      <x:c r="I62" s="54"/>
      <x:c r="J62" s="49"/>
      <x:c r="K62" s="49"/>
      <x:c r="L62" s="49"/>
      <x:c r="M62" s="49"/>
      <x:c r="N62" s="49"/>
      <x:c r="O62" s="49"/>
      <x:c r="P62" s="49"/>
      <x:c r="Q62" s="49"/>
      <x:c r="R62" s="49"/>
      <x:c r="S62" s="49"/>
      <x:c r="T62" s="49"/>
      <x:c r="U62" s="49"/>
      <x:c r="V62" s="56"/>
      <x:c r="W62" s="49"/>
      <x:c r="X62" s="49"/>
      <x:c r="Y62" s="48"/>
      <x:c r="Z62" s="48"/>
    </x:row>
    <x:row r="63" ht="34" customHeight="1">
      <x:c r="A63" s="49"/>
      <x:c r="B63" s="49"/>
      <x:c r="C63" s="49"/>
      <x:c r="D63" s="49"/>
      <x:c r="E63" s="49"/>
      <x:c r="F63" s="49"/>
      <x:c r="G63" s="49"/>
      <x:c r="H63" s="49"/>
      <x:c r="I63" s="54"/>
      <x:c r="J63" s="49"/>
      <x:c r="K63" s="49"/>
      <x:c r="L63" s="49"/>
      <x:c r="M63" s="49"/>
      <x:c r="N63" s="49"/>
      <x:c r="O63" s="49"/>
      <x:c r="P63" s="49"/>
      <x:c r="Q63" s="49"/>
      <x:c r="R63" s="49"/>
      <x:c r="S63" s="49"/>
      <x:c r="T63" s="49"/>
      <x:c r="U63" s="49"/>
      <x:c r="V63" s="56"/>
      <x:c r="W63" s="49"/>
      <x:c r="X63" s="49"/>
      <x:c r="Y63" s="48"/>
      <x:c r="Z63" s="48"/>
    </x:row>
    <x:row r="64" ht="34" customHeight="1">
      <x:c r="A64" s="49"/>
      <x:c r="B64" s="49"/>
      <x:c r="C64" s="49"/>
      <x:c r="D64" s="49"/>
      <x:c r="E64" s="49"/>
      <x:c r="F64" s="49"/>
      <x:c r="G64" s="49"/>
      <x:c r="H64" s="49"/>
      <x:c r="I64" s="54"/>
      <x:c r="J64" s="49"/>
      <x:c r="K64" s="49"/>
      <x:c r="L64" s="49"/>
      <x:c r="M64" s="49"/>
      <x:c r="N64" s="49"/>
      <x:c r="O64" s="49"/>
      <x:c r="P64" s="49"/>
      <x:c r="Q64" s="49"/>
      <x:c r="R64" s="49"/>
      <x:c r="S64" s="49"/>
      <x:c r="T64" s="49"/>
      <x:c r="U64" s="49"/>
      <x:c r="V64" s="56"/>
      <x:c r="W64" s="49"/>
      <x:c r="X64" s="49"/>
      <x:c r="Y64" s="48"/>
      <x:c r="Z64" s="48"/>
    </x:row>
    <x:row r="65" ht="34" customHeight="1">
      <x:c r="A65" s="49"/>
      <x:c r="B65" s="49"/>
      <x:c r="C65" s="49"/>
      <x:c r="D65" s="49"/>
      <x:c r="E65" s="49"/>
      <x:c r="F65" s="49"/>
      <x:c r="G65" s="49"/>
      <x:c r="H65" s="49"/>
      <x:c r="I65" s="54"/>
      <x:c r="J65" s="49"/>
      <x:c r="K65" s="49"/>
      <x:c r="L65" s="49"/>
      <x:c r="M65" s="49"/>
      <x:c r="N65" s="49"/>
      <x:c r="O65" s="49"/>
      <x:c r="P65" s="49"/>
      <x:c r="Q65" s="49"/>
      <x:c r="R65" s="49"/>
      <x:c r="S65" s="49"/>
      <x:c r="T65" s="49"/>
      <x:c r="U65" s="49"/>
      <x:c r="V65" s="56"/>
      <x:c r="W65" s="49"/>
      <x:c r="X65" s="49"/>
      <x:c r="Y65" s="48"/>
      <x:c r="Z65" s="48"/>
    </x:row>
    <x:row r="66" ht="34" customHeight="1">
      <x:c r="A66" s="49"/>
      <x:c r="B66" s="49"/>
      <x:c r="C66" s="49"/>
      <x:c r="D66" s="49"/>
      <x:c r="E66" s="49"/>
      <x:c r="F66" s="49"/>
      <x:c r="G66" s="49"/>
      <x:c r="H66" s="49"/>
      <x:c r="I66" s="54"/>
      <x:c r="J66" s="49"/>
      <x:c r="K66" s="49"/>
      <x:c r="L66" s="49"/>
      <x:c r="M66" s="49"/>
      <x:c r="N66" s="49"/>
      <x:c r="O66" s="49"/>
      <x:c r="P66" s="49"/>
      <x:c r="Q66" s="49"/>
      <x:c r="R66" s="49"/>
      <x:c r="S66" s="49"/>
      <x:c r="T66" s="49"/>
      <x:c r="U66" s="49"/>
      <x:c r="V66" s="56"/>
      <x:c r="W66" s="49"/>
      <x:c r="X66" s="49"/>
      <x:c r="Y66" s="48"/>
      <x:c r="Z66" s="48"/>
    </x:row>
    <x:row r="67" ht="34" customHeight="1">
      <x:c r="A67" s="49"/>
      <x:c r="B67" s="49"/>
      <x:c r="C67" s="49"/>
      <x:c r="D67" s="49"/>
      <x:c r="E67" s="49"/>
      <x:c r="F67" s="49"/>
      <x:c r="G67" s="49"/>
      <x:c r="H67" s="49"/>
      <x:c r="I67" s="54"/>
      <x:c r="J67" s="49"/>
      <x:c r="K67" s="49"/>
      <x:c r="L67" s="49"/>
      <x:c r="M67" s="49"/>
      <x:c r="N67" s="49"/>
      <x:c r="O67" s="49"/>
      <x:c r="P67" s="49"/>
      <x:c r="Q67" s="49"/>
      <x:c r="R67" s="49"/>
      <x:c r="S67" s="49"/>
      <x:c r="T67" s="49"/>
      <x:c r="U67" s="49"/>
      <x:c r="V67" s="56"/>
      <x:c r="W67" s="49"/>
      <x:c r="X67" s="49"/>
      <x:c r="Y67" s="48"/>
      <x:c r="Z67" s="48"/>
    </x:row>
    <x:row r="68" ht="34" customHeight="1">
      <x:c r="A68" s="49"/>
      <x:c r="B68" s="49"/>
      <x:c r="C68" s="49"/>
      <x:c r="D68" s="49"/>
      <x:c r="E68" s="49"/>
      <x:c r="F68" s="49"/>
      <x:c r="G68" s="49"/>
      <x:c r="H68" s="49"/>
      <x:c r="I68" s="54"/>
      <x:c r="J68" s="49"/>
      <x:c r="K68" s="49"/>
      <x:c r="L68" s="49"/>
      <x:c r="M68" s="49"/>
      <x:c r="N68" s="49"/>
      <x:c r="O68" s="49"/>
      <x:c r="P68" s="49"/>
      <x:c r="Q68" s="49"/>
      <x:c r="R68" s="49"/>
      <x:c r="S68" s="49"/>
      <x:c r="T68" s="49"/>
      <x:c r="U68" s="49"/>
      <x:c r="V68" s="56"/>
      <x:c r="W68" s="49"/>
      <x:c r="X68" s="49"/>
      <x:c r="Y68" s="48"/>
      <x:c r="Z68" s="48"/>
    </x:row>
    <x:row r="69" ht="34" customHeight="1">
      <x:c r="A69" s="49"/>
      <x:c r="B69" s="49"/>
      <x:c r="C69" s="49"/>
      <x:c r="D69" s="49"/>
      <x:c r="E69" s="49"/>
      <x:c r="F69" s="49"/>
      <x:c r="G69" s="49"/>
      <x:c r="H69" s="49"/>
      <x:c r="I69" s="54"/>
      <x:c r="J69" s="49"/>
      <x:c r="K69" s="49"/>
      <x:c r="L69" s="49"/>
      <x:c r="M69" s="49"/>
      <x:c r="N69" s="49"/>
      <x:c r="O69" s="49"/>
      <x:c r="P69" s="49"/>
      <x:c r="Q69" s="49"/>
      <x:c r="R69" s="49"/>
      <x:c r="S69" s="49"/>
      <x:c r="T69" s="49"/>
      <x:c r="U69" s="49"/>
      <x:c r="V69" s="56"/>
      <x:c r="W69" s="49"/>
      <x:c r="X69" s="49"/>
      <x:c r="Y69" s="48"/>
      <x:c r="Z69" s="48"/>
    </x:row>
    <x:row r="70" ht="34" customHeight="1">
      <x:c r="A70" s="49"/>
      <x:c r="B70" s="49"/>
      <x:c r="C70" s="49"/>
      <x:c r="D70" s="49"/>
      <x:c r="E70" s="49"/>
      <x:c r="F70" s="49"/>
      <x:c r="G70" s="49"/>
      <x:c r="H70" s="49"/>
      <x:c r="I70" s="54"/>
      <x:c r="J70" s="49"/>
      <x:c r="K70" s="49"/>
      <x:c r="L70" s="49"/>
      <x:c r="M70" s="49"/>
      <x:c r="N70" s="49"/>
      <x:c r="O70" s="49"/>
      <x:c r="P70" s="49"/>
      <x:c r="Q70" s="49"/>
      <x:c r="R70" s="49"/>
      <x:c r="S70" s="49"/>
      <x:c r="T70" s="49"/>
      <x:c r="U70" s="49"/>
      <x:c r="V70" s="56"/>
      <x:c r="W70" s="49"/>
      <x:c r="X70" s="49"/>
      <x:c r="Y70" s="48"/>
      <x:c r="Z70" s="48"/>
    </x:row>
    <x:row r="71" ht="34" customHeight="1">
      <x:c r="A71" s="49"/>
      <x:c r="B71" s="49"/>
      <x:c r="C71" s="49"/>
      <x:c r="D71" s="49"/>
      <x:c r="E71" s="49"/>
      <x:c r="F71" s="49"/>
      <x:c r="G71" s="49"/>
      <x:c r="H71" s="49"/>
      <x:c r="I71" s="54"/>
      <x:c r="J71" s="49"/>
      <x:c r="K71" s="49"/>
      <x:c r="L71" s="49"/>
      <x:c r="M71" s="49"/>
      <x:c r="N71" s="49"/>
      <x:c r="O71" s="49"/>
      <x:c r="P71" s="49"/>
      <x:c r="Q71" s="49"/>
      <x:c r="R71" s="49"/>
      <x:c r="S71" s="49"/>
      <x:c r="T71" s="49"/>
      <x:c r="U71" s="49"/>
      <x:c r="V71" s="56"/>
      <x:c r="W71" s="49"/>
      <x:c r="X71" s="49"/>
      <x:c r="Y71" s="48"/>
      <x:c r="Z71" s="48"/>
    </x:row>
    <x:row r="72" ht="34" customHeight="1">
      <x:c r="A72" s="49"/>
      <x:c r="B72" s="49"/>
      <x:c r="C72" s="49"/>
      <x:c r="D72" s="49"/>
      <x:c r="E72" s="49"/>
      <x:c r="F72" s="49"/>
      <x:c r="G72" s="49"/>
      <x:c r="H72" s="49"/>
      <x:c r="I72" s="54"/>
      <x:c r="J72" s="49"/>
      <x:c r="K72" s="49"/>
      <x:c r="L72" s="49"/>
      <x:c r="M72" s="49"/>
      <x:c r="N72" s="49"/>
      <x:c r="O72" s="49"/>
      <x:c r="P72" s="49"/>
      <x:c r="Q72" s="49"/>
      <x:c r="R72" s="49"/>
      <x:c r="S72" s="49"/>
      <x:c r="T72" s="49"/>
      <x:c r="U72" s="49"/>
      <x:c r="V72" s="56"/>
      <x:c r="W72" s="49"/>
      <x:c r="X72" s="49"/>
      <x:c r="Y72" s="48"/>
      <x:c r="Z72" s="48"/>
    </x:row>
    <x:row r="73" ht="34" customHeight="1">
      <x:c r="A73" s="49"/>
      <x:c r="B73" s="49"/>
      <x:c r="C73" s="49"/>
      <x:c r="D73" s="49"/>
      <x:c r="E73" s="49"/>
      <x:c r="F73" s="49"/>
      <x:c r="G73" s="49"/>
      <x:c r="H73" s="49"/>
      <x:c r="I73" s="54"/>
      <x:c r="J73" s="49"/>
      <x:c r="K73" s="49"/>
      <x:c r="L73" s="49"/>
      <x:c r="M73" s="49"/>
      <x:c r="N73" s="49"/>
      <x:c r="O73" s="49"/>
      <x:c r="P73" s="49"/>
      <x:c r="Q73" s="49"/>
      <x:c r="R73" s="49"/>
      <x:c r="S73" s="49"/>
      <x:c r="T73" s="49"/>
      <x:c r="U73" s="49"/>
      <x:c r="V73" s="56"/>
      <x:c r="W73" s="49"/>
      <x:c r="X73" s="49"/>
      <x:c r="Y73" s="48"/>
      <x:c r="Z73" s="48"/>
    </x:row>
    <x:row r="74" ht="34" customHeight="1">
      <x:c r="A74" s="49"/>
      <x:c r="B74" s="49"/>
      <x:c r="C74" s="49"/>
      <x:c r="D74" s="49"/>
      <x:c r="E74" s="49"/>
      <x:c r="F74" s="49"/>
      <x:c r="G74" s="49"/>
      <x:c r="H74" s="49"/>
      <x:c r="I74" s="54"/>
      <x:c r="J74" s="49"/>
      <x:c r="K74" s="49"/>
      <x:c r="L74" s="49"/>
      <x:c r="M74" s="49"/>
      <x:c r="N74" s="49"/>
      <x:c r="O74" s="49"/>
      <x:c r="P74" s="49"/>
      <x:c r="Q74" s="49"/>
      <x:c r="R74" s="49"/>
      <x:c r="S74" s="49"/>
      <x:c r="T74" s="49"/>
      <x:c r="U74" s="49"/>
      <x:c r="V74" s="56"/>
      <x:c r="W74" s="49"/>
      <x:c r="X74" s="49"/>
      <x:c r="Y74" s="48"/>
      <x:c r="Z74" s="48"/>
    </x:row>
    <x:row r="75" ht="34" customHeight="1">
      <x:c r="A75" s="49"/>
      <x:c r="B75" s="49"/>
      <x:c r="C75" s="49"/>
      <x:c r="D75" s="49"/>
      <x:c r="E75" s="49"/>
      <x:c r="F75" s="49"/>
      <x:c r="G75" s="49"/>
      <x:c r="H75" s="49"/>
      <x:c r="I75" s="54"/>
      <x:c r="J75" s="49"/>
      <x:c r="K75" s="49"/>
      <x:c r="L75" s="49"/>
      <x:c r="M75" s="49"/>
      <x:c r="N75" s="49"/>
      <x:c r="O75" s="49"/>
      <x:c r="P75" s="49"/>
      <x:c r="Q75" s="49"/>
      <x:c r="R75" s="49"/>
      <x:c r="S75" s="49"/>
      <x:c r="T75" s="49"/>
      <x:c r="U75" s="49"/>
      <x:c r="V75" s="56"/>
      <x:c r="W75" s="49"/>
      <x:c r="X75" s="49"/>
      <x:c r="Y75" s="48"/>
      <x:c r="Z75" s="48"/>
    </x:row>
    <x:row r="76" ht="34" customHeight="1">
      <x:c r="A76" s="49"/>
      <x:c r="B76" s="49"/>
      <x:c r="C76" s="49"/>
      <x:c r="D76" s="49"/>
      <x:c r="E76" s="49"/>
      <x:c r="F76" s="49"/>
      <x:c r="G76" s="49"/>
      <x:c r="H76" s="49"/>
      <x:c r="I76" s="54"/>
      <x:c r="J76" s="49"/>
      <x:c r="K76" s="49"/>
      <x:c r="L76" s="49"/>
      <x:c r="M76" s="49"/>
      <x:c r="N76" s="49"/>
      <x:c r="O76" s="49"/>
      <x:c r="P76" s="49"/>
      <x:c r="Q76" s="49"/>
      <x:c r="R76" s="49"/>
      <x:c r="S76" s="49"/>
      <x:c r="T76" s="49"/>
      <x:c r="U76" s="49"/>
      <x:c r="V76" s="56"/>
      <x:c r="W76" s="49"/>
      <x:c r="X76" s="49"/>
      <x:c r="Y76" s="48"/>
      <x:c r="Z76" s="48"/>
    </x:row>
    <x:row r="77" ht="34" customHeight="1">
      <x:c r="A77" s="49"/>
      <x:c r="B77" s="49"/>
      <x:c r="C77" s="49"/>
      <x:c r="D77" s="49"/>
      <x:c r="E77" s="49"/>
      <x:c r="F77" s="49"/>
      <x:c r="G77" s="49"/>
      <x:c r="H77" s="49"/>
      <x:c r="I77" s="54"/>
      <x:c r="J77" s="49"/>
      <x:c r="K77" s="49"/>
      <x:c r="L77" s="49"/>
      <x:c r="M77" s="49"/>
      <x:c r="N77" s="49"/>
      <x:c r="O77" s="49"/>
      <x:c r="P77" s="49"/>
      <x:c r="Q77" s="49"/>
      <x:c r="R77" s="49"/>
      <x:c r="S77" s="49"/>
      <x:c r="T77" s="49"/>
      <x:c r="U77" s="49"/>
      <x:c r="V77" s="56"/>
      <x:c r="W77" s="49"/>
      <x:c r="X77" s="49"/>
      <x:c r="Y77" s="48"/>
      <x:c r="Z77" s="48"/>
    </x:row>
    <x:row r="78" ht="34" customHeight="1">
      <x:c r="A78" s="49"/>
      <x:c r="B78" s="49"/>
      <x:c r="C78" s="49"/>
      <x:c r="D78" s="49"/>
      <x:c r="E78" s="49"/>
      <x:c r="F78" s="49"/>
      <x:c r="G78" s="49"/>
      <x:c r="H78" s="49"/>
      <x:c r="I78" s="54"/>
      <x:c r="J78" s="49"/>
      <x:c r="K78" s="49"/>
      <x:c r="L78" s="49"/>
      <x:c r="M78" s="49"/>
      <x:c r="N78" s="49"/>
      <x:c r="O78" s="49"/>
      <x:c r="P78" s="49"/>
      <x:c r="Q78" s="49"/>
      <x:c r="R78" s="49"/>
      <x:c r="S78" s="49"/>
      <x:c r="T78" s="49"/>
      <x:c r="U78" s="49"/>
      <x:c r="V78" s="56"/>
      <x:c r="W78" s="49"/>
      <x:c r="X78" s="49"/>
      <x:c r="Y78" s="48"/>
      <x:c r="Z78" s="48"/>
    </x:row>
    <x:row r="79" ht="34" customHeight="1">
      <x:c r="A79" s="49"/>
      <x:c r="B79" s="49"/>
      <x:c r="C79" s="49"/>
      <x:c r="D79" s="49"/>
      <x:c r="E79" s="49"/>
      <x:c r="F79" s="49"/>
      <x:c r="G79" s="49"/>
      <x:c r="H79" s="49"/>
      <x:c r="I79" s="54"/>
      <x:c r="J79" s="49"/>
      <x:c r="K79" s="49"/>
      <x:c r="L79" s="49"/>
      <x:c r="M79" s="49"/>
      <x:c r="N79" s="49"/>
      <x:c r="O79" s="49"/>
      <x:c r="P79" s="49"/>
      <x:c r="Q79" s="49"/>
      <x:c r="R79" s="49"/>
      <x:c r="S79" s="49"/>
      <x:c r="T79" s="49"/>
      <x:c r="U79" s="49"/>
      <x:c r="V79" s="56"/>
      <x:c r="W79" s="49"/>
      <x:c r="X79" s="49"/>
      <x:c r="Y79" s="48"/>
      <x:c r="Z79" s="48"/>
    </x:row>
    <x:row r="80" ht="34" customHeight="1">
      <x:c r="A80" s="49"/>
      <x:c r="B80" s="49"/>
      <x:c r="C80" s="49"/>
      <x:c r="D80" s="49"/>
      <x:c r="E80" s="49"/>
      <x:c r="F80" s="49"/>
      <x:c r="G80" s="49"/>
      <x:c r="H80" s="49"/>
      <x:c r="I80" s="54"/>
      <x:c r="J80" s="49"/>
      <x:c r="K80" s="49"/>
      <x:c r="L80" s="49"/>
      <x:c r="M80" s="49"/>
      <x:c r="N80" s="49"/>
      <x:c r="O80" s="49"/>
      <x:c r="P80" s="49"/>
      <x:c r="Q80" s="49"/>
      <x:c r="R80" s="49"/>
      <x:c r="S80" s="49"/>
      <x:c r="T80" s="49"/>
      <x:c r="U80" s="49"/>
      <x:c r="V80" s="56"/>
      <x:c r="W80" s="49"/>
      <x:c r="X80" s="49"/>
      <x:c r="Y80" s="48"/>
      <x:c r="Z80" s="48"/>
    </x:row>
    <x:row r="81" ht="34" customHeight="1">
      <x:c r="A81" s="49"/>
      <x:c r="B81" s="49"/>
      <x:c r="C81" s="49"/>
      <x:c r="D81" s="49"/>
      <x:c r="E81" s="49"/>
      <x:c r="F81" s="49"/>
      <x:c r="G81" s="49"/>
      <x:c r="H81" s="49"/>
      <x:c r="I81" s="54"/>
      <x:c r="J81" s="49"/>
      <x:c r="K81" s="49"/>
      <x:c r="L81" s="49"/>
      <x:c r="M81" s="49"/>
      <x:c r="N81" s="49"/>
      <x:c r="O81" s="49"/>
      <x:c r="P81" s="49"/>
      <x:c r="Q81" s="49"/>
      <x:c r="R81" s="49"/>
      <x:c r="S81" s="49"/>
      <x:c r="T81" s="49"/>
      <x:c r="U81" s="49"/>
      <x:c r="V81" s="56"/>
      <x:c r="W81" s="49"/>
      <x:c r="X81" s="49"/>
      <x:c r="Y81" s="48"/>
      <x:c r="Z81" s="48"/>
    </x:row>
    <x:row r="82" ht="34" customHeight="1">
      <x:c r="A82" s="49"/>
      <x:c r="B82" s="49"/>
      <x:c r="C82" s="49"/>
      <x:c r="D82" s="49"/>
      <x:c r="E82" s="49"/>
      <x:c r="F82" s="49"/>
      <x:c r="G82" s="49"/>
      <x:c r="H82" s="49"/>
      <x:c r="I82" s="54"/>
      <x:c r="J82" s="49"/>
      <x:c r="K82" s="49"/>
      <x:c r="L82" s="49"/>
      <x:c r="M82" s="49"/>
      <x:c r="N82" s="49"/>
      <x:c r="O82" s="49"/>
      <x:c r="P82" s="49"/>
      <x:c r="Q82" s="49"/>
      <x:c r="R82" s="49"/>
      <x:c r="S82" s="49"/>
      <x:c r="T82" s="49"/>
      <x:c r="U82" s="49"/>
      <x:c r="V82" s="56"/>
      <x:c r="W82" s="49"/>
      <x:c r="X82" s="49"/>
      <x:c r="Y82" s="48"/>
      <x:c r="Z82" s="48"/>
    </x:row>
    <x:row r="83" ht="34" customHeight="1">
      <x:c r="A83" s="49"/>
      <x:c r="B83" s="49"/>
      <x:c r="C83" s="49"/>
      <x:c r="D83" s="49"/>
      <x:c r="E83" s="49"/>
      <x:c r="F83" s="49"/>
      <x:c r="G83" s="49"/>
      <x:c r="H83" s="49"/>
      <x:c r="I83" s="54"/>
      <x:c r="J83" s="49"/>
      <x:c r="K83" s="49"/>
      <x:c r="L83" s="49"/>
      <x:c r="M83" s="49"/>
      <x:c r="N83" s="49"/>
      <x:c r="O83" s="49"/>
      <x:c r="P83" s="49"/>
      <x:c r="Q83" s="49"/>
      <x:c r="R83" s="49"/>
      <x:c r="S83" s="49"/>
      <x:c r="T83" s="49"/>
      <x:c r="U83" s="49"/>
      <x:c r="V83" s="56"/>
      <x:c r="W83" s="49"/>
      <x:c r="X83" s="49"/>
      <x:c r="Y83" s="48"/>
      <x:c r="Z83" s="48"/>
    </x:row>
    <x:row r="84" ht="34" customHeight="1">
      <x:c r="A84" s="49"/>
      <x:c r="B84" s="49"/>
      <x:c r="C84" s="49"/>
      <x:c r="D84" s="49"/>
      <x:c r="E84" s="49"/>
      <x:c r="F84" s="49"/>
      <x:c r="G84" s="49"/>
      <x:c r="H84" s="49"/>
      <x:c r="I84" s="54"/>
      <x:c r="J84" s="49"/>
      <x:c r="K84" s="49"/>
      <x:c r="L84" s="49"/>
      <x:c r="M84" s="49"/>
      <x:c r="N84" s="49"/>
      <x:c r="O84" s="49"/>
      <x:c r="P84" s="49"/>
      <x:c r="Q84" s="49"/>
      <x:c r="R84" s="49"/>
      <x:c r="S84" s="49"/>
      <x:c r="T84" s="49"/>
      <x:c r="U84" s="49"/>
      <x:c r="V84" s="56"/>
      <x:c r="W84" s="49"/>
      <x:c r="X84" s="49"/>
      <x:c r="Y84" s="48"/>
      <x:c r="Z84" s="48"/>
    </x:row>
    <x:row r="85" ht="34" customHeight="1">
      <x:c r="A85" s="49"/>
      <x:c r="B85" s="49"/>
      <x:c r="C85" s="49"/>
      <x:c r="D85" s="49"/>
      <x:c r="E85" s="49"/>
      <x:c r="F85" s="49"/>
      <x:c r="G85" s="49"/>
      <x:c r="H85" s="49"/>
      <x:c r="I85" s="54"/>
      <x:c r="J85" s="49"/>
      <x:c r="K85" s="49"/>
      <x:c r="L85" s="49"/>
      <x:c r="M85" s="49"/>
      <x:c r="N85" s="49"/>
      <x:c r="O85" s="49"/>
      <x:c r="P85" s="49"/>
      <x:c r="Q85" s="49"/>
      <x:c r="R85" s="49"/>
      <x:c r="S85" s="49"/>
      <x:c r="T85" s="49"/>
      <x:c r="U85" s="49"/>
      <x:c r="V85" s="56"/>
      <x:c r="W85" s="49"/>
      <x:c r="X85" s="49"/>
      <x:c r="Y85" s="48"/>
      <x:c r="Z85" s="48"/>
    </x:row>
    <x:row r="86" ht="34" customHeight="1">
      <x:c r="A86" s="49"/>
      <x:c r="B86" s="49"/>
      <x:c r="C86" s="49"/>
      <x:c r="D86" s="49"/>
      <x:c r="E86" s="49"/>
      <x:c r="F86" s="49"/>
      <x:c r="G86" s="49"/>
      <x:c r="H86" s="49"/>
      <x:c r="I86" s="54"/>
      <x:c r="J86" s="49"/>
      <x:c r="K86" s="49"/>
      <x:c r="L86" s="49"/>
      <x:c r="M86" s="49"/>
      <x:c r="N86" s="49"/>
      <x:c r="O86" s="49"/>
      <x:c r="P86" s="49"/>
      <x:c r="Q86" s="49"/>
      <x:c r="R86" s="49"/>
      <x:c r="S86" s="49"/>
      <x:c r="T86" s="49"/>
      <x:c r="U86" s="49"/>
      <x:c r="V86" s="56"/>
      <x:c r="W86" s="49"/>
      <x:c r="X86" s="49"/>
      <x:c r="Y86" s="48"/>
      <x:c r="Z86" s="48"/>
    </x:row>
    <x:row r="87" ht="34" customHeight="1">
      <x:c r="A87" s="49"/>
      <x:c r="B87" s="49"/>
      <x:c r="C87" s="49"/>
      <x:c r="D87" s="49"/>
      <x:c r="E87" s="49"/>
      <x:c r="F87" s="49"/>
      <x:c r="G87" s="49"/>
      <x:c r="H87" s="49"/>
      <x:c r="I87" s="54"/>
      <x:c r="J87" s="49"/>
      <x:c r="K87" s="49"/>
      <x:c r="L87" s="49"/>
      <x:c r="M87" s="49"/>
      <x:c r="N87" s="49"/>
      <x:c r="O87" s="49"/>
      <x:c r="P87" s="49"/>
      <x:c r="Q87" s="49"/>
      <x:c r="R87" s="49"/>
      <x:c r="S87" s="49"/>
      <x:c r="T87" s="49"/>
      <x:c r="U87" s="49"/>
      <x:c r="V87" s="56"/>
      <x:c r="W87" s="49"/>
      <x:c r="X87" s="49"/>
      <x:c r="Y87" s="48"/>
      <x:c r="Z87" s="48"/>
    </x:row>
    <x:row r="88" ht="34" customHeight="1">
      <x:c r="A88" s="49"/>
      <x:c r="B88" s="49"/>
      <x:c r="C88" s="49"/>
      <x:c r="D88" s="49"/>
      <x:c r="E88" s="49"/>
      <x:c r="F88" s="49"/>
      <x:c r="G88" s="49"/>
      <x:c r="H88" s="49"/>
      <x:c r="I88" s="54"/>
      <x:c r="J88" s="49"/>
      <x:c r="K88" s="49"/>
      <x:c r="L88" s="49"/>
      <x:c r="M88" s="49"/>
      <x:c r="N88" s="49"/>
      <x:c r="O88" s="49"/>
      <x:c r="P88" s="49"/>
      <x:c r="Q88" s="49"/>
      <x:c r="R88" s="49"/>
      <x:c r="S88" s="49"/>
      <x:c r="T88" s="49"/>
      <x:c r="U88" s="49"/>
      <x:c r="V88" s="56"/>
      <x:c r="W88" s="49"/>
      <x:c r="X88" s="49"/>
      <x:c r="Y88" s="48"/>
      <x:c r="Z88" s="48"/>
    </x:row>
    <x:row r="89" ht="34" customHeight="1">
      <x:c r="A89" s="49"/>
      <x:c r="B89" s="49"/>
      <x:c r="C89" s="49"/>
      <x:c r="D89" s="49"/>
      <x:c r="E89" s="49"/>
      <x:c r="F89" s="49"/>
      <x:c r="G89" s="49"/>
      <x:c r="H89" s="49"/>
      <x:c r="I89" s="54"/>
      <x:c r="J89" s="49"/>
      <x:c r="K89" s="49"/>
      <x:c r="L89" s="49"/>
      <x:c r="M89" s="49"/>
      <x:c r="N89" s="49"/>
      <x:c r="O89" s="49"/>
      <x:c r="P89" s="49"/>
      <x:c r="Q89" s="49"/>
      <x:c r="R89" s="49"/>
      <x:c r="S89" s="49"/>
      <x:c r="T89" s="49"/>
      <x:c r="U89" s="49"/>
      <x:c r="V89" s="56"/>
      <x:c r="W89" s="49"/>
      <x:c r="X89" s="49"/>
      <x:c r="Y89" s="48"/>
      <x:c r="Z89" s="48"/>
    </x:row>
    <x:row r="90" ht="34" customHeight="1">
      <x:c r="A90" s="49"/>
      <x:c r="B90" s="49"/>
      <x:c r="C90" s="49"/>
      <x:c r="D90" s="49"/>
      <x:c r="E90" s="49"/>
      <x:c r="F90" s="49"/>
      <x:c r="G90" s="49"/>
      <x:c r="H90" s="49"/>
      <x:c r="I90" s="54"/>
      <x:c r="J90" s="49"/>
      <x:c r="K90" s="49"/>
      <x:c r="L90" s="49"/>
      <x:c r="M90" s="49"/>
      <x:c r="N90" s="49"/>
      <x:c r="O90" s="49"/>
      <x:c r="P90" s="49"/>
      <x:c r="Q90" s="49"/>
      <x:c r="R90" s="49"/>
      <x:c r="S90" s="49"/>
      <x:c r="T90" s="49"/>
      <x:c r="U90" s="49"/>
      <x:c r="V90" s="56"/>
      <x:c r="W90" s="49"/>
      <x:c r="X90" s="49"/>
      <x:c r="Y90" s="48"/>
      <x:c r="Z90" s="48"/>
    </x:row>
    <x:row r="91" ht="34" customHeight="1">
      <x:c r="A91" s="49"/>
      <x:c r="B91" s="49"/>
      <x:c r="C91" s="49"/>
      <x:c r="D91" s="49"/>
      <x:c r="E91" s="49"/>
      <x:c r="F91" s="49"/>
      <x:c r="G91" s="49"/>
      <x:c r="H91" s="49"/>
      <x:c r="I91" s="54"/>
      <x:c r="J91" s="49"/>
      <x:c r="K91" s="49"/>
      <x:c r="L91" s="49"/>
      <x:c r="M91" s="49"/>
      <x:c r="N91" s="49"/>
      <x:c r="O91" s="49"/>
      <x:c r="P91" s="49"/>
      <x:c r="Q91" s="49"/>
      <x:c r="R91" s="49"/>
      <x:c r="S91" s="49"/>
      <x:c r="T91" s="49"/>
      <x:c r="U91" s="49"/>
      <x:c r="V91" s="56"/>
      <x:c r="W91" s="49"/>
      <x:c r="X91" s="49"/>
      <x:c r="Y91" s="48"/>
      <x:c r="Z91" s="48"/>
    </x:row>
    <x:row r="92" ht="34" customHeight="1">
      <x:c r="A92" s="49"/>
      <x:c r="B92" s="49"/>
      <x:c r="C92" s="49"/>
      <x:c r="D92" s="49"/>
      <x:c r="E92" s="49"/>
      <x:c r="F92" s="49"/>
      <x:c r="G92" s="49"/>
      <x:c r="H92" s="49"/>
      <x:c r="I92" s="54"/>
      <x:c r="J92" s="49"/>
      <x:c r="K92" s="49"/>
      <x:c r="L92" s="49"/>
      <x:c r="M92" s="49"/>
      <x:c r="N92" s="49"/>
      <x:c r="O92" s="49"/>
      <x:c r="P92" s="49"/>
      <x:c r="Q92" s="49"/>
      <x:c r="R92" s="49"/>
      <x:c r="S92" s="49"/>
      <x:c r="T92" s="49"/>
      <x:c r="U92" s="49"/>
      <x:c r="V92" s="56"/>
      <x:c r="W92" s="49"/>
      <x:c r="X92" s="49"/>
      <x:c r="Y92" s="48"/>
      <x:c r="Z92" s="48"/>
    </x:row>
    <x:row r="93" ht="34" customHeight="1">
      <x:c r="A93" s="49"/>
      <x:c r="B93" s="49"/>
      <x:c r="C93" s="49"/>
      <x:c r="D93" s="49"/>
      <x:c r="E93" s="49"/>
      <x:c r="F93" s="49"/>
      <x:c r="G93" s="49"/>
      <x:c r="H93" s="49"/>
      <x:c r="I93" s="54"/>
      <x:c r="J93" s="49"/>
      <x:c r="K93" s="49"/>
      <x:c r="L93" s="49"/>
      <x:c r="M93" s="49"/>
      <x:c r="N93" s="49"/>
      <x:c r="O93" s="49"/>
      <x:c r="P93" s="49"/>
      <x:c r="Q93" s="49"/>
      <x:c r="R93" s="49"/>
      <x:c r="S93" s="49"/>
      <x:c r="T93" s="49"/>
      <x:c r="U93" s="49"/>
      <x:c r="V93" s="56"/>
      <x:c r="W93" s="49"/>
      <x:c r="X93" s="49"/>
      <x:c r="Y93" s="48"/>
      <x:c r="Z93" s="48"/>
    </x:row>
    <x:row r="94" ht="34" customHeight="1">
      <x:c r="A94" s="49"/>
      <x:c r="B94" s="49"/>
      <x:c r="C94" s="49"/>
      <x:c r="D94" s="49"/>
      <x:c r="E94" s="49"/>
      <x:c r="F94" s="49"/>
      <x:c r="G94" s="49"/>
      <x:c r="H94" s="49"/>
      <x:c r="I94" s="54"/>
      <x:c r="J94" s="49"/>
      <x:c r="K94" s="49"/>
      <x:c r="L94" s="49"/>
      <x:c r="M94" s="49"/>
      <x:c r="N94" s="49"/>
      <x:c r="O94" s="49"/>
      <x:c r="P94" s="49"/>
      <x:c r="Q94" s="49"/>
      <x:c r="R94" s="49"/>
      <x:c r="S94" s="49"/>
      <x:c r="T94" s="49"/>
      <x:c r="U94" s="49"/>
      <x:c r="V94" s="56"/>
      <x:c r="W94" s="49"/>
      <x:c r="X94" s="49"/>
      <x:c r="Y94" s="48"/>
      <x:c r="Z94" s="48"/>
    </x:row>
    <x:row r="95" ht="34" customHeight="1">
      <x:c r="A95" s="49"/>
      <x:c r="B95" s="49"/>
      <x:c r="C95" s="49"/>
      <x:c r="D95" s="49"/>
      <x:c r="E95" s="49"/>
      <x:c r="F95" s="49"/>
      <x:c r="G95" s="49"/>
      <x:c r="H95" s="49"/>
      <x:c r="I95" s="54"/>
      <x:c r="J95" s="49"/>
      <x:c r="K95" s="49"/>
      <x:c r="L95" s="49"/>
      <x:c r="M95" s="49"/>
      <x:c r="N95" s="49"/>
      <x:c r="O95" s="49"/>
      <x:c r="P95" s="49"/>
      <x:c r="Q95" s="49"/>
      <x:c r="R95" s="49"/>
      <x:c r="S95" s="49"/>
      <x:c r="T95" s="49"/>
      <x:c r="U95" s="49"/>
      <x:c r="V95" s="56"/>
      <x:c r="W95" s="49"/>
      <x:c r="X95" s="49"/>
      <x:c r="Y95" s="48"/>
      <x:c r="Z95" s="48"/>
    </x:row>
    <x:row r="96" ht="34" customHeight="1">
      <x:c r="A96" s="49"/>
      <x:c r="B96" s="49"/>
      <x:c r="C96" s="49"/>
      <x:c r="D96" s="49"/>
      <x:c r="E96" s="49"/>
      <x:c r="F96" s="49"/>
      <x:c r="G96" s="49"/>
      <x:c r="H96" s="49"/>
      <x:c r="I96" s="54"/>
      <x:c r="J96" s="49"/>
      <x:c r="K96" s="49"/>
      <x:c r="L96" s="49"/>
      <x:c r="M96" s="49"/>
      <x:c r="N96" s="49"/>
      <x:c r="O96" s="49"/>
      <x:c r="P96" s="49"/>
      <x:c r="Q96" s="49"/>
      <x:c r="R96" s="49"/>
      <x:c r="S96" s="49"/>
      <x:c r="T96" s="49"/>
      <x:c r="U96" s="49"/>
      <x:c r="V96" s="56"/>
      <x:c r="W96" s="49"/>
      <x:c r="X96" s="49"/>
      <x:c r="Y96" s="48"/>
      <x:c r="Z96" s="48"/>
    </x:row>
    <x:row r="97" ht="34" customHeight="1">
      <x:c r="A97" s="49"/>
      <x:c r="B97" s="49"/>
      <x:c r="C97" s="49"/>
      <x:c r="D97" s="49"/>
      <x:c r="E97" s="49"/>
      <x:c r="F97" s="49"/>
      <x:c r="G97" s="49"/>
      <x:c r="H97" s="49"/>
      <x:c r="I97" s="54"/>
      <x:c r="J97" s="49"/>
      <x:c r="K97" s="49"/>
      <x:c r="L97" s="49"/>
      <x:c r="M97" s="49"/>
      <x:c r="N97" s="49"/>
      <x:c r="O97" s="49"/>
      <x:c r="P97" s="49"/>
      <x:c r="Q97" s="49"/>
      <x:c r="R97" s="49"/>
      <x:c r="S97" s="49"/>
      <x:c r="T97" s="49"/>
      <x:c r="U97" s="49"/>
      <x:c r="V97" s="56"/>
      <x:c r="W97" s="49"/>
      <x:c r="X97" s="49"/>
      <x:c r="Y97" s="48"/>
      <x:c r="Z97" s="48"/>
    </x:row>
    <x:row r="98" ht="34" customHeight="1">
      <x:c r="A98" s="49"/>
      <x:c r="B98" s="49"/>
      <x:c r="C98" s="49"/>
      <x:c r="D98" s="49"/>
      <x:c r="E98" s="49"/>
      <x:c r="F98" s="49"/>
      <x:c r="G98" s="49"/>
      <x:c r="H98" s="49"/>
      <x:c r="I98" s="54"/>
      <x:c r="J98" s="49"/>
      <x:c r="K98" s="49"/>
      <x:c r="L98" s="49"/>
      <x:c r="M98" s="49"/>
      <x:c r="N98" s="49"/>
      <x:c r="O98" s="49"/>
      <x:c r="P98" s="49"/>
      <x:c r="Q98" s="49"/>
      <x:c r="R98" s="49"/>
      <x:c r="S98" s="49"/>
      <x:c r="T98" s="49"/>
      <x:c r="U98" s="49"/>
      <x:c r="V98" s="56"/>
      <x:c r="W98" s="49"/>
      <x:c r="X98" s="49"/>
      <x:c r="Y98" s="48"/>
      <x:c r="Z98" s="48"/>
    </x:row>
    <x:row r="99" ht="34" customHeight="1">
      <x:c r="A99" s="49"/>
      <x:c r="B99" s="49"/>
      <x:c r="C99" s="49"/>
      <x:c r="D99" s="49"/>
      <x:c r="E99" s="49"/>
      <x:c r="F99" s="49"/>
      <x:c r="G99" s="49"/>
      <x:c r="H99" s="49"/>
      <x:c r="I99" s="54"/>
      <x:c r="J99" s="49"/>
      <x:c r="K99" s="49"/>
      <x:c r="L99" s="49"/>
      <x:c r="M99" s="49"/>
      <x:c r="N99" s="49"/>
      <x:c r="O99" s="49"/>
      <x:c r="P99" s="49"/>
      <x:c r="Q99" s="49"/>
      <x:c r="R99" s="49"/>
      <x:c r="S99" s="49"/>
      <x:c r="T99" s="49"/>
      <x:c r="U99" s="49"/>
      <x:c r="V99" s="56"/>
      <x:c r="W99" s="49"/>
      <x:c r="X99" s="49"/>
      <x:c r="Y99" s="48"/>
      <x:c r="Z99" s="48"/>
    </x:row>
    <x:row r="100" ht="34" customHeight="1">
      <x:c r="A100" s="49"/>
      <x:c r="B100" s="49"/>
      <x:c r="C100" s="49"/>
      <x:c r="D100" s="49"/>
      <x:c r="E100" s="49"/>
      <x:c r="F100" s="49"/>
      <x:c r="G100" s="49"/>
      <x:c r="H100" s="49"/>
      <x:c r="I100" s="54"/>
      <x:c r="J100" s="49"/>
      <x:c r="K100" s="49"/>
      <x:c r="L100" s="49"/>
      <x:c r="M100" s="49"/>
      <x:c r="N100" s="49"/>
      <x:c r="O100" s="49"/>
      <x:c r="P100" s="49"/>
      <x:c r="Q100" s="49"/>
      <x:c r="R100" s="49"/>
      <x:c r="S100" s="49"/>
      <x:c r="T100" s="49"/>
      <x:c r="U100" s="49"/>
      <x:c r="V100" s="56"/>
      <x:c r="W100" s="49"/>
      <x:c r="X100" s="49"/>
      <x:c r="Y100" s="48"/>
      <x:c r="Z100" s="48"/>
    </x:row>
    <x:row r="101">
      <x:c r="A101" s="48"/>
      <x:c r="B101" s="48"/>
      <x:c r="C101" s="48"/>
      <x:c r="D101" s="48"/>
      <x:c r="E101" s="48"/>
      <x:c r="F101" s="48"/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48"/>
      <x:c r="B102" s="48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48"/>
      <x:c r="B103" s="48"/>
      <x:c r="C103" s="48"/>
      <x:c r="D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48"/>
      <x:c r="B104" s="48"/>
      <x:c r="C104" s="48"/>
      <x:c r="D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48"/>
      <x:c r="B105" s="48"/>
      <x:c r="C105" s="48"/>
      <x:c r="D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48"/>
      <x:c r="B106" s="48"/>
      <x:c r="C106" s="48"/>
      <x:c r="D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48"/>
      <x:c r="B107" s="48"/>
      <x:c r="C107" s="48"/>
      <x:c r="D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48"/>
      <x:c r="B108" s="48"/>
      <x:c r="C108" s="48"/>
      <x:c r="D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48"/>
      <x:c r="B109" s="48"/>
      <x:c r="C109" s="48"/>
      <x:c r="D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48"/>
      <x:c r="B110" s="48"/>
      <x:c r="C110" s="48"/>
      <x:c r="D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48"/>
      <x:c r="B111" s="48"/>
      <x:c r="C111" s="48"/>
      <x:c r="D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48"/>
      <x:c r="B112" s="48"/>
      <x:c r="C112" s="48"/>
      <x:c r="D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48"/>
      <x:c r="B113" s="48"/>
      <x:c r="C113" s="48"/>
      <x:c r="D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48"/>
      <x:c r="B114" s="48"/>
      <x:c r="C114" s="48"/>
      <x:c r="D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48"/>
      <x:c r="B115" s="48"/>
      <x:c r="C115" s="48"/>
      <x:c r="D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48"/>
      <x:c r="B116" s="48"/>
      <x:c r="C116" s="48"/>
      <x:c r="D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48"/>
      <x:c r="B117" s="48"/>
      <x:c r="C117" s="48"/>
      <x:c r="D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48"/>
      <x:c r="B118" s="48"/>
      <x:c r="C118" s="48"/>
      <x:c r="D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48"/>
      <x:c r="B119" s="48"/>
      <x:c r="C119" s="48"/>
      <x:c r="D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48"/>
      <x:c r="B120" s="48"/>
      <x:c r="C120" s="48"/>
      <x:c r="D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  <x:row r="121">
      <x:c r="A121" s="48"/>
      <x:c r="B121" s="48"/>
      <x:c r="C121" s="48"/>
      <x:c r="D121" s="48"/>
      <x:c r="E121" s="48"/>
      <x:c r="F121" s="48"/>
      <x:c r="G121" s="48"/>
      <x:c r="H121" s="48"/>
      <x:c r="I121" s="48"/>
      <x:c r="J121" s="48"/>
      <x:c r="K121" s="48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8"/>
      <x:c r="Z121" s="48"/>
    </x:row>
    <x:row r="122">
      <x:c r="A122" s="48"/>
      <x:c r="B122" s="48"/>
      <x:c r="C122" s="48"/>
      <x:c r="D122" s="48"/>
      <x:c r="E122" s="48"/>
      <x:c r="F122" s="48"/>
      <x:c r="G122" s="48"/>
      <x:c r="H122" s="48"/>
      <x:c r="I122" s="48"/>
      <x:c r="J122" s="48"/>
      <x:c r="K122" s="48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8"/>
      <x:c r="Z122" s="48"/>
    </x:row>
    <x:row r="123">
      <x:c r="A123" s="48"/>
      <x:c r="B123" s="48"/>
      <x:c r="C123" s="48"/>
      <x:c r="D123" s="48"/>
      <x:c r="E123" s="48"/>
      <x:c r="F123" s="48"/>
      <x:c r="G123" s="48"/>
      <x:c r="H123" s="48"/>
      <x:c r="I123" s="48"/>
      <x:c r="J123" s="48"/>
      <x:c r="K123" s="48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8"/>
      <x:c r="Z123" s="48"/>
    </x:row>
    <x:row r="124">
      <x:c r="A124" s="48"/>
      <x:c r="B124" s="48"/>
      <x:c r="C124" s="48"/>
      <x:c r="D124" s="48"/>
      <x:c r="E124" s="48"/>
      <x:c r="F124" s="48"/>
      <x:c r="G124" s="48"/>
      <x:c r="H124" s="48"/>
      <x:c r="I124" s="48"/>
      <x:c r="J124" s="48"/>
      <x:c r="K124" s="48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8"/>
      <x:c r="Z124" s="48"/>
    </x:row>
    <x:row r="125">
      <x:c r="A125" s="48"/>
      <x:c r="B125" s="48"/>
      <x:c r="C125" s="48"/>
      <x:c r="D125" s="48"/>
      <x:c r="E125" s="48"/>
      <x:c r="F125" s="48"/>
      <x:c r="G125" s="48"/>
      <x:c r="H125" s="48"/>
      <x:c r="I125" s="48"/>
      <x:c r="J125" s="48"/>
      <x:c r="K125" s="48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8"/>
      <x:c r="X125" s="48"/>
      <x:c r="Y125" s="48"/>
      <x:c r="Z125" s="48"/>
    </x:row>
    <x:row r="126">
      <x:c r="A126" s="48"/>
      <x:c r="B126" s="48"/>
      <x:c r="C126" s="48"/>
      <x:c r="D126" s="48"/>
      <x:c r="E126" s="48"/>
      <x:c r="F126" s="48"/>
      <x:c r="G126" s="48"/>
      <x:c r="H126" s="48"/>
      <x:c r="I126" s="48"/>
      <x:c r="J126" s="48"/>
      <x:c r="K126" s="48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8"/>
      <x:c r="X126" s="48"/>
      <x:c r="Y126" s="48"/>
      <x:c r="Z126" s="48"/>
    </x:row>
    <x:row r="127">
      <x:c r="A127" s="48"/>
      <x:c r="B127" s="48"/>
      <x:c r="C127" s="48"/>
      <x:c r="D127" s="48"/>
      <x:c r="E127" s="48"/>
      <x:c r="F127" s="48"/>
      <x:c r="G127" s="48"/>
      <x:c r="H127" s="48"/>
      <x:c r="I127" s="48"/>
      <x:c r="J127" s="48"/>
      <x:c r="K127" s="48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8"/>
      <x:c r="X127" s="48"/>
      <x:c r="Y127" s="48"/>
      <x:c r="Z127" s="48"/>
    </x:row>
    <x:row r="128">
      <x:c r="A128" s="48"/>
      <x:c r="B128" s="48"/>
      <x:c r="C128" s="48"/>
      <x:c r="D128" s="48"/>
      <x:c r="E128" s="48"/>
      <x:c r="F128" s="48"/>
      <x:c r="G128" s="48"/>
      <x:c r="H128" s="48"/>
      <x:c r="I128" s="48"/>
      <x:c r="J128" s="48"/>
      <x:c r="K128" s="48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8"/>
      <x:c r="X128" s="48"/>
      <x:c r="Y128" s="48"/>
      <x:c r="Z128" s="48"/>
    </x:row>
    <x:row r="129">
      <x:c r="A129" s="48"/>
      <x:c r="B129" s="48"/>
      <x:c r="C129" s="48"/>
      <x:c r="D129" s="48"/>
      <x:c r="E129" s="48"/>
      <x:c r="F129" s="48"/>
      <x:c r="G129" s="48"/>
      <x:c r="H129" s="48"/>
      <x:c r="I129" s="48"/>
      <x:c r="J129" s="48"/>
      <x:c r="K129" s="48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8"/>
      <x:c r="X129" s="48"/>
      <x:c r="Y129" s="48"/>
      <x:c r="Z129" s="48"/>
    </x:row>
    <x:row r="130">
      <x:c r="A130" s="48"/>
      <x:c r="B130" s="48"/>
      <x:c r="C130" s="48"/>
      <x:c r="D130" s="48"/>
      <x:c r="E130" s="48"/>
      <x:c r="F130" s="48"/>
      <x:c r="G130" s="48"/>
      <x:c r="H130" s="48"/>
      <x:c r="I130" s="48"/>
      <x:c r="J130" s="48"/>
      <x:c r="K130" s="48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8"/>
      <x:c r="X130" s="48"/>
      <x:c r="Y130" s="48"/>
      <x:c r="Z130" s="48"/>
    </x:row>
    <x:row r="131">
      <x:c r="A131" s="48"/>
      <x:c r="B131" s="48"/>
      <x:c r="C131" s="48"/>
      <x:c r="D131" s="48"/>
      <x:c r="E131" s="48"/>
      <x:c r="F131" s="48"/>
      <x:c r="G131" s="48"/>
      <x:c r="H131" s="48"/>
      <x:c r="I131" s="48"/>
      <x:c r="J131" s="48"/>
      <x:c r="K131" s="48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8"/>
      <x:c r="X131" s="48"/>
      <x:c r="Y131" s="48"/>
      <x:c r="Z131" s="48"/>
    </x:row>
    <x:row r="132">
      <x:c r="A132" s="48"/>
      <x:c r="B132" s="48"/>
      <x:c r="C132" s="48"/>
      <x:c r="D132" s="48"/>
      <x:c r="E132" s="48"/>
      <x:c r="F132" s="48"/>
      <x:c r="G132" s="48"/>
      <x:c r="H132" s="48"/>
      <x:c r="I132" s="48"/>
      <x:c r="J132" s="48"/>
      <x:c r="K132" s="48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8"/>
      <x:c r="X132" s="48"/>
      <x:c r="Y132" s="48"/>
      <x:c r="Z132" s="48"/>
    </x:row>
    <x:row r="133">
      <x:c r="A133" s="48"/>
      <x:c r="B133" s="48"/>
      <x:c r="C133" s="48"/>
      <x:c r="D133" s="48"/>
      <x:c r="E133" s="48"/>
      <x:c r="F133" s="48"/>
      <x:c r="G133" s="48"/>
      <x:c r="H133" s="48"/>
      <x:c r="I133" s="48"/>
      <x:c r="J133" s="48"/>
      <x:c r="K133" s="48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8"/>
      <x:c r="X133" s="48"/>
      <x:c r="Y133" s="48"/>
      <x:c r="Z133" s="48"/>
    </x:row>
    <x:row r="134">
      <x:c r="A134" s="48"/>
      <x:c r="B134" s="48"/>
      <x:c r="C134" s="48"/>
      <x:c r="D134" s="48"/>
      <x:c r="E134" s="48"/>
      <x:c r="F134" s="48"/>
      <x:c r="G134" s="48"/>
      <x:c r="H134" s="48"/>
      <x:c r="I134" s="48"/>
      <x:c r="J134" s="48"/>
      <x:c r="K134" s="48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8"/>
      <x:c r="X134" s="48"/>
      <x:c r="Y134" s="48"/>
      <x:c r="Z134" s="48"/>
    </x:row>
    <x:row r="135">
      <x:c r="A135" s="48"/>
      <x:c r="B135" s="48"/>
      <x:c r="C135" s="48"/>
      <x:c r="D135" s="48"/>
      <x:c r="E135" s="48"/>
      <x:c r="F135" s="48"/>
      <x:c r="G135" s="48"/>
      <x:c r="H135" s="48"/>
      <x:c r="I135" s="48"/>
      <x:c r="J135" s="48"/>
      <x:c r="K135" s="48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8"/>
      <x:c r="X135" s="48"/>
      <x:c r="Y135" s="48"/>
      <x:c r="Z135" s="48"/>
    </x:row>
    <x:row r="136">
      <x:c r="A136" s="48"/>
      <x:c r="B136" s="48"/>
      <x:c r="C136" s="48"/>
      <x:c r="D136" s="48"/>
      <x:c r="E136" s="48"/>
      <x:c r="F136" s="48"/>
      <x:c r="G136" s="48"/>
      <x:c r="H136" s="48"/>
      <x:c r="I136" s="48"/>
      <x:c r="J136" s="48"/>
      <x:c r="K136" s="48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8"/>
      <x:c r="X136" s="48"/>
      <x:c r="Y136" s="48"/>
      <x:c r="Z136" s="48"/>
    </x:row>
    <x:row r="137">
      <x:c r="A137" s="48"/>
      <x:c r="B137" s="48"/>
      <x:c r="C137" s="48"/>
      <x:c r="D137" s="48"/>
      <x:c r="E137" s="48"/>
      <x:c r="F137" s="48"/>
      <x:c r="G137" s="48"/>
      <x:c r="H137" s="48"/>
      <x:c r="I137" s="48"/>
      <x:c r="J137" s="48"/>
      <x:c r="K137" s="48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8"/>
      <x:c r="X137" s="48"/>
      <x:c r="Y137" s="48"/>
      <x:c r="Z137" s="48"/>
    </x:row>
    <x:row r="138">
      <x:c r="A138" s="48"/>
      <x:c r="B138" s="48"/>
      <x:c r="C138" s="48"/>
      <x:c r="D138" s="48"/>
      <x:c r="E138" s="48"/>
      <x:c r="F138" s="48"/>
      <x:c r="G138" s="48"/>
      <x:c r="H138" s="48"/>
      <x:c r="I138" s="48"/>
      <x:c r="J138" s="48"/>
      <x:c r="K138" s="48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8"/>
      <x:c r="X138" s="48"/>
      <x:c r="Y138" s="48"/>
      <x:c r="Z138" s="48"/>
    </x:row>
    <x:row r="139">
      <x:c r="A139" s="48"/>
      <x:c r="B139" s="48"/>
      <x:c r="C139" s="48"/>
      <x:c r="D139" s="48"/>
      <x:c r="E139" s="48"/>
      <x:c r="F139" s="48"/>
      <x:c r="G139" s="48"/>
      <x:c r="H139" s="48"/>
      <x:c r="I139" s="48"/>
      <x:c r="J139" s="48"/>
      <x:c r="K139" s="48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8"/>
      <x:c r="X139" s="48"/>
      <x:c r="Y139" s="48"/>
      <x:c r="Z139" s="48"/>
    </x:row>
    <x:row r="140">
      <x:c r="A140" s="48"/>
      <x:c r="B140" s="48"/>
      <x:c r="C140" s="48"/>
      <x:c r="D140" s="48"/>
      <x:c r="E140" s="48"/>
      <x:c r="F140" s="48"/>
      <x:c r="G140" s="48"/>
      <x:c r="H140" s="48"/>
      <x:c r="I140" s="48"/>
      <x:c r="J140" s="48"/>
      <x:c r="K140" s="48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8"/>
      <x:c r="X140" s="48"/>
      <x:c r="Y140" s="48"/>
      <x:c r="Z140" s="48"/>
    </x:row>
    <x:row r="141">
      <x:c r="A141" s="48"/>
      <x:c r="B141" s="48"/>
      <x:c r="C141" s="48"/>
      <x:c r="D141" s="48"/>
      <x:c r="E141" s="48"/>
      <x:c r="F141" s="48"/>
      <x:c r="G141" s="48"/>
      <x:c r="H141" s="48"/>
      <x:c r="I141" s="48"/>
      <x:c r="J141" s="48"/>
      <x:c r="K141" s="48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8"/>
      <x:c r="X141" s="48"/>
      <x:c r="Y141" s="48"/>
      <x:c r="Z141" s="48"/>
    </x:row>
    <x:row r="142">
      <x:c r="A142" s="48"/>
      <x:c r="B142" s="48"/>
      <x:c r="C142" s="48"/>
      <x:c r="D142" s="48"/>
      <x:c r="E142" s="48"/>
      <x:c r="F142" s="48"/>
      <x:c r="G142" s="48"/>
      <x:c r="H142" s="48"/>
      <x:c r="I142" s="48"/>
      <x:c r="J142" s="48"/>
      <x:c r="K142" s="48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8"/>
      <x:c r="X142" s="48"/>
      <x:c r="Y142" s="48"/>
      <x:c r="Z142" s="48"/>
    </x:row>
    <x:row r="143">
      <x:c r="A143" s="48"/>
      <x:c r="B143" s="48"/>
      <x:c r="C143" s="48"/>
      <x:c r="D143" s="48"/>
      <x:c r="E143" s="48"/>
      <x:c r="F143" s="48"/>
      <x:c r="G143" s="48"/>
      <x:c r="H143" s="48"/>
      <x:c r="I143" s="48"/>
      <x:c r="J143" s="48"/>
      <x:c r="K143" s="48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8"/>
      <x:c r="X143" s="48"/>
      <x:c r="Y143" s="48"/>
      <x:c r="Z143" s="48"/>
    </x:row>
    <x:row r="144">
      <x:c r="A144" s="48"/>
      <x:c r="B144" s="48"/>
      <x:c r="C144" s="48"/>
      <x:c r="D144" s="48"/>
      <x:c r="E144" s="48"/>
      <x:c r="F144" s="48"/>
      <x:c r="G144" s="48"/>
      <x:c r="H144" s="48"/>
      <x:c r="I144" s="48"/>
      <x:c r="J144" s="48"/>
      <x:c r="K144" s="48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8"/>
      <x:c r="X144" s="48"/>
      <x:c r="Y144" s="48"/>
      <x:c r="Z144" s="48"/>
    </x:row>
    <x:row r="145">
      <x:c r="A145" s="48"/>
      <x:c r="B145" s="48"/>
      <x:c r="C145" s="48"/>
      <x:c r="D145" s="48"/>
      <x:c r="E145" s="48"/>
      <x:c r="F145" s="48"/>
      <x:c r="G145" s="48"/>
      <x:c r="H145" s="48"/>
      <x:c r="I145" s="48"/>
      <x:c r="J145" s="48"/>
      <x:c r="K145" s="48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8"/>
      <x:c r="X145" s="48"/>
      <x:c r="Y145" s="48"/>
      <x:c r="Z145" s="48"/>
    </x:row>
    <x:row r="146">
      <x:c r="A146" s="48"/>
      <x:c r="B146" s="48"/>
      <x:c r="C146" s="48"/>
      <x:c r="D146" s="48"/>
      <x:c r="E146" s="48"/>
      <x:c r="F146" s="48"/>
      <x:c r="G146" s="48"/>
      <x:c r="H146" s="48"/>
      <x:c r="I146" s="48"/>
      <x:c r="J146" s="48"/>
      <x:c r="K146" s="48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8"/>
      <x:c r="X146" s="48"/>
      <x:c r="Y146" s="48"/>
      <x:c r="Z146" s="48"/>
    </x:row>
    <x:row r="147">
      <x:c r="A147" s="48"/>
      <x:c r="B147" s="48"/>
      <x:c r="C147" s="48"/>
      <x:c r="D147" s="48"/>
      <x:c r="E147" s="48"/>
      <x:c r="F147" s="48"/>
      <x:c r="G147" s="48"/>
      <x:c r="H147" s="48"/>
      <x:c r="I147" s="48"/>
      <x:c r="J147" s="48"/>
      <x:c r="K147" s="48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8"/>
      <x:c r="X147" s="48"/>
      <x:c r="Y147" s="48"/>
      <x:c r="Z147" s="48"/>
    </x:row>
    <x:row r="148">
      <x:c r="A148" s="48"/>
      <x:c r="B148" s="48"/>
      <x:c r="C148" s="48"/>
      <x:c r="D148" s="48"/>
      <x:c r="E148" s="48"/>
      <x:c r="F148" s="48"/>
      <x:c r="G148" s="48"/>
      <x:c r="H148" s="48"/>
      <x:c r="I148" s="48"/>
      <x:c r="J148" s="48"/>
      <x:c r="K148" s="48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8"/>
      <x:c r="X148" s="48"/>
      <x:c r="Y148" s="48"/>
      <x:c r="Z148" s="48"/>
    </x:row>
    <x:row r="149">
      <x:c r="A149" s="48"/>
      <x:c r="B149" s="48"/>
      <x:c r="C149" s="48"/>
      <x:c r="D149" s="48"/>
      <x:c r="E149" s="48"/>
      <x:c r="F149" s="48"/>
      <x:c r="G149" s="48"/>
      <x:c r="H149" s="48"/>
      <x:c r="I149" s="48"/>
      <x:c r="J149" s="48"/>
      <x:c r="K149" s="48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8"/>
      <x:c r="X149" s="48"/>
      <x:c r="Y149" s="48"/>
      <x:c r="Z149" s="48"/>
    </x:row>
    <x:row r="150">
      <x:c r="A150" s="48"/>
      <x:c r="B150" s="48"/>
      <x:c r="C150" s="48"/>
      <x:c r="D150" s="48"/>
      <x:c r="E150" s="48"/>
      <x:c r="F150" s="48"/>
      <x:c r="G150" s="48"/>
      <x:c r="H150" s="48"/>
      <x:c r="I150" s="48"/>
      <x:c r="J150" s="48"/>
      <x:c r="K150" s="48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8"/>
      <x:c r="X150" s="48"/>
      <x:c r="Y150" s="48"/>
      <x:c r="Z150" s="48"/>
    </x:row>
    <x:row r="151">
      <x:c r="A151" s="48"/>
      <x:c r="B151" s="48"/>
      <x:c r="C151" s="48"/>
      <x:c r="D151" s="48"/>
      <x:c r="E151" s="48"/>
      <x:c r="F151" s="48"/>
      <x:c r="G151" s="48"/>
      <x:c r="H151" s="48"/>
      <x:c r="I151" s="48"/>
      <x:c r="J151" s="48"/>
      <x:c r="K151" s="48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8"/>
      <x:c r="X151" s="48"/>
      <x:c r="Y151" s="48"/>
      <x:c r="Z151" s="48"/>
    </x:row>
    <x:row r="152">
      <x:c r="A152" s="48"/>
      <x:c r="B152" s="48"/>
      <x:c r="C152" s="48"/>
      <x:c r="D152" s="48"/>
      <x:c r="E152" s="48"/>
      <x:c r="F152" s="48"/>
      <x:c r="G152" s="48"/>
      <x:c r="H152" s="48"/>
      <x:c r="I152" s="48"/>
      <x:c r="J152" s="48"/>
      <x:c r="K152" s="48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8"/>
      <x:c r="X152" s="48"/>
      <x:c r="Y152" s="48"/>
      <x:c r="Z152" s="48"/>
    </x:row>
    <x:row r="153">
      <x:c r="A153" s="48"/>
      <x:c r="B153" s="48"/>
      <x:c r="C153" s="48"/>
      <x:c r="D153" s="48"/>
      <x:c r="E153" s="48"/>
      <x:c r="F153" s="48"/>
      <x:c r="G153" s="48"/>
      <x:c r="H153" s="48"/>
      <x:c r="I153" s="48"/>
      <x:c r="J153" s="48"/>
      <x:c r="K153" s="48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8"/>
      <x:c r="X153" s="48"/>
      <x:c r="Y153" s="48"/>
      <x:c r="Z153" s="48"/>
    </x:row>
    <x:row r="154">
      <x:c r="A154" s="48"/>
      <x:c r="B154" s="48"/>
      <x:c r="C154" s="48"/>
      <x:c r="D154" s="48"/>
      <x:c r="E154" s="48"/>
      <x:c r="F154" s="48"/>
      <x:c r="G154" s="48"/>
      <x:c r="H154" s="48"/>
      <x:c r="I154" s="48"/>
      <x:c r="J154" s="48"/>
      <x:c r="K154" s="48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8"/>
      <x:c r="X154" s="48"/>
      <x:c r="Y154" s="48"/>
      <x:c r="Z154" s="48"/>
    </x:row>
    <x:row r="155">
      <x:c r="A155" s="48"/>
      <x:c r="B155" s="48"/>
      <x:c r="C155" s="48"/>
      <x:c r="D155" s="48"/>
      <x:c r="E155" s="48"/>
      <x:c r="F155" s="48"/>
      <x:c r="G155" s="48"/>
      <x:c r="H155" s="48"/>
      <x:c r="I155" s="48"/>
      <x:c r="J155" s="48"/>
      <x:c r="K155" s="48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8"/>
      <x:c r="X155" s="48"/>
      <x:c r="Y155" s="48"/>
      <x:c r="Z155" s="48"/>
    </x:row>
    <x:row r="156">
      <x:c r="A156" s="48"/>
      <x:c r="B156" s="48"/>
      <x:c r="C156" s="48"/>
      <x:c r="D156" s="48"/>
      <x:c r="E156" s="48"/>
      <x:c r="F156" s="48"/>
      <x:c r="G156" s="48"/>
      <x:c r="H156" s="48"/>
      <x:c r="I156" s="48"/>
      <x:c r="J156" s="48"/>
      <x:c r="K156" s="48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8"/>
      <x:c r="X156" s="48"/>
      <x:c r="Y156" s="48"/>
      <x:c r="Z156" s="48"/>
    </x:row>
    <x:row r="157">
      <x:c r="A157" s="48"/>
      <x:c r="B157" s="48"/>
      <x:c r="C157" s="48"/>
      <x:c r="D157" s="48"/>
      <x:c r="E157" s="48"/>
      <x:c r="F157" s="48"/>
      <x:c r="G157" s="48"/>
      <x:c r="H157" s="48"/>
      <x:c r="I157" s="48"/>
      <x:c r="J157" s="48"/>
      <x:c r="K157" s="48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8"/>
      <x:c r="X157" s="48"/>
      <x:c r="Y157" s="48"/>
      <x:c r="Z157" s="48"/>
    </x:row>
    <x:row r="158">
      <x:c r="A158" s="48"/>
      <x:c r="B158" s="48"/>
      <x:c r="C158" s="48"/>
      <x:c r="D158" s="48"/>
      <x:c r="E158" s="48"/>
      <x:c r="F158" s="48"/>
      <x:c r="G158" s="48"/>
      <x:c r="H158" s="48"/>
      <x:c r="I158" s="48"/>
      <x:c r="J158" s="48"/>
      <x:c r="K158" s="48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8"/>
      <x:c r="X158" s="48"/>
      <x:c r="Y158" s="48"/>
      <x:c r="Z158" s="48"/>
    </x:row>
    <x:row r="159">
      <x:c r="A159" s="48"/>
      <x:c r="B159" s="48"/>
      <x:c r="C159" s="48"/>
      <x:c r="D159" s="48"/>
      <x:c r="E159" s="48"/>
      <x:c r="F159" s="48"/>
      <x:c r="G159" s="48"/>
      <x:c r="H159" s="48"/>
      <x:c r="I159" s="48"/>
      <x:c r="J159" s="48"/>
      <x:c r="K159" s="48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8"/>
      <x:c r="X159" s="48"/>
      <x:c r="Y159" s="48"/>
      <x:c r="Z159" s="48"/>
    </x:row>
    <x:row r="160">
      <x:c r="A160" s="48"/>
      <x:c r="B160" s="48"/>
      <x:c r="C160" s="48"/>
      <x:c r="D160" s="48"/>
      <x:c r="E160" s="48"/>
      <x:c r="F160" s="48"/>
      <x:c r="G160" s="48"/>
      <x:c r="H160" s="48"/>
      <x:c r="I160" s="48"/>
      <x:c r="J160" s="48"/>
      <x:c r="K160" s="48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8"/>
      <x:c r="X160" s="48"/>
      <x:c r="Y160" s="48"/>
      <x:c r="Z160" s="48"/>
    </x:row>
    <x:row r="161">
      <x:c r="A161" s="48"/>
      <x:c r="B161" s="48"/>
      <x:c r="C161" s="48"/>
      <x:c r="D161" s="48"/>
      <x:c r="E161" s="48"/>
      <x:c r="F161" s="48"/>
      <x:c r="G161" s="48"/>
      <x:c r="H161" s="48"/>
      <x:c r="I161" s="48"/>
      <x:c r="J161" s="48"/>
      <x:c r="K161" s="48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8"/>
      <x:c r="X161" s="48"/>
      <x:c r="Y161" s="48"/>
      <x:c r="Z161" s="48"/>
    </x:row>
    <x:row r="162">
      <x:c r="A162" s="48"/>
      <x:c r="B162" s="48"/>
      <x:c r="C162" s="48"/>
      <x:c r="D162" s="48"/>
      <x:c r="E162" s="48"/>
      <x:c r="F162" s="48"/>
      <x:c r="G162" s="48"/>
      <x:c r="H162" s="48"/>
      <x:c r="I162" s="48"/>
      <x:c r="J162" s="48"/>
      <x:c r="K162" s="48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8"/>
      <x:c r="X162" s="48"/>
      <x:c r="Y162" s="48"/>
      <x:c r="Z162" s="48"/>
    </x:row>
    <x:row r="163">
      <x:c r="A163" s="48"/>
      <x:c r="B163" s="48"/>
      <x:c r="C163" s="48"/>
      <x:c r="D163" s="48"/>
      <x:c r="E163" s="48"/>
      <x:c r="F163" s="48"/>
      <x:c r="G163" s="48"/>
      <x:c r="H163" s="48"/>
      <x:c r="I163" s="48"/>
      <x:c r="J163" s="48"/>
      <x:c r="K163" s="48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8"/>
      <x:c r="X163" s="48"/>
      <x:c r="Y163" s="48"/>
      <x:c r="Z163" s="48"/>
    </x:row>
    <x:row r="164">
      <x:c r="A164" s="48"/>
      <x:c r="B164" s="48"/>
      <x:c r="C164" s="48"/>
      <x:c r="D164" s="48"/>
      <x:c r="E164" s="48"/>
      <x:c r="F164" s="48"/>
      <x:c r="G164" s="48"/>
      <x:c r="H164" s="48"/>
      <x:c r="I164" s="48"/>
      <x:c r="J164" s="48"/>
      <x:c r="K164" s="48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8"/>
      <x:c r="X164" s="48"/>
      <x:c r="Y164" s="48"/>
      <x:c r="Z164" s="48"/>
    </x:row>
    <x:row r="165">
      <x:c r="A165" s="48"/>
      <x:c r="B165" s="48"/>
      <x:c r="C165" s="48"/>
      <x:c r="D165" s="48"/>
      <x:c r="E165" s="48"/>
      <x:c r="F165" s="48"/>
      <x:c r="G165" s="48"/>
      <x:c r="H165" s="48"/>
      <x:c r="I165" s="48"/>
      <x:c r="J165" s="48"/>
      <x:c r="K165" s="48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8"/>
      <x:c r="X165" s="48"/>
      <x:c r="Y165" s="48"/>
      <x:c r="Z165" s="48"/>
    </x:row>
    <x:row r="166">
      <x:c r="A166" s="48"/>
      <x:c r="B166" s="48"/>
      <x:c r="C166" s="48"/>
      <x:c r="D166" s="48"/>
      <x:c r="E166" s="48"/>
      <x:c r="F166" s="48"/>
      <x:c r="G166" s="48"/>
      <x:c r="H166" s="48"/>
      <x:c r="I166" s="48"/>
      <x:c r="J166" s="48"/>
      <x:c r="K166" s="48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8"/>
      <x:c r="X166" s="48"/>
      <x:c r="Y166" s="48"/>
      <x:c r="Z166" s="48"/>
    </x:row>
    <x:row r="167">
      <x:c r="A167" s="48"/>
      <x:c r="B167" s="48"/>
      <x:c r="C167" s="48"/>
      <x:c r="D167" s="48"/>
      <x:c r="E167" s="48"/>
      <x:c r="F167" s="48"/>
      <x:c r="G167" s="48"/>
      <x:c r="H167" s="48"/>
      <x:c r="I167" s="48"/>
      <x:c r="J167" s="48"/>
      <x:c r="K167" s="48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8"/>
      <x:c r="X167" s="48"/>
      <x:c r="Y167" s="48"/>
      <x:c r="Z167" s="48"/>
    </x:row>
    <x:row r="168">
      <x:c r="A168" s="48"/>
      <x:c r="B168" s="48"/>
      <x:c r="C168" s="48"/>
      <x:c r="D168" s="48"/>
      <x:c r="E168" s="48"/>
      <x:c r="F168" s="48"/>
      <x:c r="G168" s="48"/>
      <x:c r="H168" s="48"/>
      <x:c r="I168" s="48"/>
      <x:c r="J168" s="48"/>
      <x:c r="K168" s="48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8"/>
      <x:c r="X168" s="48"/>
      <x:c r="Y168" s="48"/>
      <x:c r="Z168" s="48"/>
    </x:row>
    <x:row r="169">
      <x:c r="A169" s="48"/>
      <x:c r="B169" s="48"/>
      <x:c r="C169" s="48"/>
      <x:c r="D169" s="48"/>
      <x:c r="E169" s="48"/>
      <x:c r="F169" s="48"/>
      <x:c r="G169" s="48"/>
      <x:c r="H169" s="48"/>
      <x:c r="I169" s="48"/>
      <x:c r="J169" s="48"/>
      <x:c r="K169" s="48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8"/>
      <x:c r="X169" s="48"/>
      <x:c r="Y169" s="48"/>
      <x:c r="Z169" s="48"/>
    </x:row>
    <x:row r="170">
      <x:c r="A170" s="48"/>
      <x:c r="B170" s="48"/>
      <x:c r="C170" s="48"/>
      <x:c r="D170" s="48"/>
      <x:c r="E170" s="48"/>
      <x:c r="F170" s="48"/>
      <x:c r="G170" s="48"/>
      <x:c r="H170" s="48"/>
      <x:c r="I170" s="48"/>
      <x:c r="J170" s="48"/>
      <x:c r="K170" s="48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8"/>
      <x:c r="X170" s="48"/>
      <x:c r="Y170" s="48"/>
      <x:c r="Z170" s="48"/>
    </x:row>
    <x:row r="171">
      <x:c r="A171" s="48"/>
      <x:c r="B171" s="48"/>
      <x:c r="C171" s="48"/>
      <x:c r="D171" s="48"/>
      <x:c r="E171" s="48"/>
      <x:c r="F171" s="48"/>
      <x:c r="G171" s="48"/>
      <x:c r="H171" s="48"/>
      <x:c r="I171" s="48"/>
      <x:c r="J171" s="48"/>
      <x:c r="K171" s="48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8"/>
      <x:c r="X171" s="48"/>
      <x:c r="Y171" s="48"/>
      <x:c r="Z171" s="48"/>
    </x:row>
    <x:row r="172">
      <x:c r="A172" s="48"/>
      <x:c r="B172" s="48"/>
      <x:c r="C172" s="48"/>
      <x:c r="D172" s="48"/>
      <x:c r="E172" s="48"/>
      <x:c r="F172" s="48"/>
      <x:c r="G172" s="48"/>
      <x:c r="H172" s="48"/>
      <x:c r="I172" s="48"/>
      <x:c r="J172" s="48"/>
      <x:c r="K172" s="48"/>
      <x:c r="L172" s="48"/>
      <x:c r="M172" s="48"/>
      <x:c r="N172" s="48"/>
      <x:c r="O172" s="48"/>
      <x:c r="P172" s="48"/>
      <x:c r="Q172" s="48"/>
      <x:c r="R172" s="48"/>
      <x:c r="S172" s="48"/>
      <x:c r="T172" s="48"/>
      <x:c r="U172" s="48"/>
      <x:c r="V172" s="48"/>
      <x:c r="W172" s="48"/>
      <x:c r="X172" s="48"/>
      <x:c r="Y172" s="48"/>
      <x:c r="Z172" s="48"/>
    </x:row>
    <x:row r="173">
      <x:c r="A173" s="48"/>
      <x:c r="B173" s="48"/>
      <x:c r="C173" s="48"/>
      <x:c r="D173" s="48"/>
      <x:c r="E173" s="48"/>
      <x:c r="F173" s="48"/>
      <x:c r="G173" s="48"/>
      <x:c r="H173" s="48"/>
      <x:c r="I173" s="48"/>
      <x:c r="J173" s="48"/>
      <x:c r="K173" s="48"/>
      <x:c r="L173" s="48"/>
      <x:c r="M173" s="48"/>
      <x:c r="N173" s="48"/>
      <x:c r="O173" s="48"/>
      <x:c r="P173" s="48"/>
      <x:c r="Q173" s="48"/>
      <x:c r="R173" s="48"/>
      <x:c r="S173" s="48"/>
      <x:c r="T173" s="48"/>
      <x:c r="U173" s="48"/>
      <x:c r="V173" s="48"/>
      <x:c r="W173" s="48"/>
      <x:c r="X173" s="48"/>
      <x:c r="Y173" s="48"/>
      <x:c r="Z173" s="48"/>
    </x:row>
    <x:row r="174">
      <x:c r="A174" s="48"/>
      <x:c r="B174" s="48"/>
      <x:c r="C174" s="48"/>
      <x:c r="D174" s="48"/>
      <x:c r="E174" s="48"/>
      <x:c r="F174" s="48"/>
      <x:c r="G174" s="48"/>
      <x:c r="H174" s="48"/>
      <x:c r="I174" s="48"/>
      <x:c r="J174" s="48"/>
      <x:c r="K174" s="48"/>
      <x:c r="L174" s="48"/>
      <x:c r="M174" s="48"/>
      <x:c r="N174" s="48"/>
      <x:c r="O174" s="48"/>
      <x:c r="P174" s="48"/>
      <x:c r="Q174" s="48"/>
      <x:c r="R174" s="48"/>
      <x:c r="S174" s="48"/>
      <x:c r="T174" s="48"/>
      <x:c r="U174" s="48"/>
      <x:c r="V174" s="48"/>
      <x:c r="W174" s="48"/>
      <x:c r="X174" s="48"/>
      <x:c r="Y174" s="48"/>
      <x:c r="Z174" s="48"/>
    </x:row>
    <x:row r="175">
      <x:c r="A175" s="48"/>
      <x:c r="B175" s="48"/>
      <x:c r="C175" s="48"/>
      <x:c r="D175" s="48"/>
      <x:c r="E175" s="48"/>
      <x:c r="F175" s="48"/>
      <x:c r="G175" s="48"/>
      <x:c r="H175" s="48"/>
      <x:c r="I175" s="48"/>
      <x:c r="J175" s="48"/>
      <x:c r="K175" s="48"/>
      <x:c r="L175" s="48"/>
      <x:c r="M175" s="48"/>
      <x:c r="N175" s="48"/>
      <x:c r="O175" s="48"/>
      <x:c r="P175" s="48"/>
      <x:c r="Q175" s="48"/>
      <x:c r="R175" s="48"/>
      <x:c r="S175" s="48"/>
      <x:c r="T175" s="48"/>
      <x:c r="U175" s="48"/>
      <x:c r="V175" s="48"/>
      <x:c r="W175" s="48"/>
      <x:c r="X175" s="48"/>
      <x:c r="Y175" s="48"/>
      <x:c r="Z175" s="48"/>
    </x:row>
    <x:row r="176">
      <x:c r="A176" s="48"/>
      <x:c r="B176" s="48"/>
      <x:c r="C176" s="48"/>
      <x:c r="D176" s="48"/>
      <x:c r="E176" s="48"/>
      <x:c r="F176" s="48"/>
      <x:c r="G176" s="48"/>
      <x:c r="H176" s="48"/>
      <x:c r="I176" s="48"/>
      <x:c r="J176" s="48"/>
      <x:c r="K176" s="48"/>
      <x:c r="L176" s="48"/>
      <x:c r="M176" s="48"/>
      <x:c r="N176" s="48"/>
      <x:c r="O176" s="48"/>
      <x:c r="P176" s="48"/>
      <x:c r="Q176" s="48"/>
      <x:c r="R176" s="48"/>
      <x:c r="S176" s="48"/>
      <x:c r="T176" s="48"/>
      <x:c r="U176" s="48"/>
      <x:c r="V176" s="48"/>
      <x:c r="W176" s="48"/>
      <x:c r="X176" s="48"/>
      <x:c r="Y176" s="48"/>
      <x:c r="Z176" s="48"/>
    </x:row>
    <x:row r="177">
      <x:c r="A177" s="48"/>
      <x:c r="B177" s="48"/>
      <x:c r="C177" s="48"/>
      <x:c r="D177" s="48"/>
      <x:c r="E177" s="48"/>
      <x:c r="F177" s="48"/>
      <x:c r="G177" s="48"/>
      <x:c r="H177" s="48"/>
      <x:c r="I177" s="48"/>
      <x:c r="J177" s="48"/>
      <x:c r="K177" s="48"/>
      <x:c r="L177" s="48"/>
      <x:c r="M177" s="48"/>
      <x:c r="N177" s="48"/>
      <x:c r="O177" s="48"/>
      <x:c r="P177" s="48"/>
      <x:c r="Q177" s="48"/>
      <x:c r="R177" s="48"/>
      <x:c r="S177" s="48"/>
      <x:c r="T177" s="48"/>
      <x:c r="U177" s="48"/>
      <x:c r="V177" s="48"/>
      <x:c r="W177" s="48"/>
      <x:c r="X177" s="48"/>
      <x:c r="Y177" s="48"/>
      <x:c r="Z177" s="48"/>
    </x:row>
    <x:row r="178">
      <x:c r="A178" s="48"/>
      <x:c r="B178" s="48"/>
      <x:c r="C178" s="48"/>
      <x:c r="D178" s="48"/>
      <x:c r="E178" s="48"/>
      <x:c r="F178" s="48"/>
      <x:c r="G178" s="48"/>
      <x:c r="H178" s="48"/>
      <x:c r="I178" s="48"/>
      <x:c r="J178" s="48"/>
      <x:c r="K178" s="48"/>
      <x:c r="L178" s="48"/>
      <x:c r="M178" s="48"/>
      <x:c r="N178" s="48"/>
      <x:c r="O178" s="48"/>
      <x:c r="P178" s="48"/>
      <x:c r="Q178" s="48"/>
      <x:c r="R178" s="48"/>
      <x:c r="S178" s="48"/>
      <x:c r="T178" s="48"/>
      <x:c r="U178" s="48"/>
      <x:c r="V178" s="48"/>
      <x:c r="W178" s="48"/>
      <x:c r="X178" s="48"/>
      <x:c r="Y178" s="48"/>
      <x:c r="Z178" s="48"/>
    </x:row>
    <x:row r="179">
      <x:c r="A179" s="48"/>
      <x:c r="B179" s="48"/>
      <x:c r="C179" s="48"/>
      <x:c r="D179" s="48"/>
      <x:c r="E179" s="48"/>
      <x:c r="F179" s="48"/>
      <x:c r="G179" s="48"/>
      <x:c r="H179" s="48"/>
      <x:c r="I179" s="48"/>
      <x:c r="J179" s="48"/>
      <x:c r="K179" s="48"/>
      <x:c r="L179" s="48"/>
      <x:c r="M179" s="48"/>
      <x:c r="N179" s="48"/>
      <x:c r="O179" s="48"/>
      <x:c r="P179" s="48"/>
      <x:c r="Q179" s="48"/>
      <x:c r="R179" s="48"/>
      <x:c r="S179" s="48"/>
      <x:c r="T179" s="48"/>
      <x:c r="U179" s="48"/>
      <x:c r="V179" s="48"/>
      <x:c r="W179" s="48"/>
      <x:c r="X179" s="48"/>
      <x:c r="Y179" s="48"/>
      <x:c r="Z179" s="48"/>
    </x:row>
    <x:row r="180">
      <x:c r="A180" s="48"/>
      <x:c r="B180" s="48"/>
      <x:c r="C180" s="48"/>
      <x:c r="D180" s="48"/>
      <x:c r="E180" s="48"/>
      <x:c r="F180" s="48"/>
      <x:c r="G180" s="48"/>
      <x:c r="H180" s="48"/>
      <x:c r="I180" s="48"/>
      <x:c r="J180" s="48"/>
      <x:c r="K180" s="48"/>
      <x:c r="L180" s="48"/>
      <x:c r="M180" s="48"/>
      <x:c r="N180" s="48"/>
      <x:c r="O180" s="48"/>
      <x:c r="P180" s="48"/>
      <x:c r="Q180" s="48"/>
      <x:c r="R180" s="48"/>
      <x:c r="S180" s="48"/>
      <x:c r="T180" s="48"/>
      <x:c r="U180" s="48"/>
      <x:c r="V180" s="48"/>
      <x:c r="W180" s="48"/>
      <x:c r="X180" s="48"/>
      <x:c r="Y180" s="48"/>
      <x:c r="Z180" s="48"/>
    </x:row>
    <x:row r="181">
      <x:c r="A181" s="48"/>
      <x:c r="B181" s="48"/>
      <x:c r="C181" s="48"/>
      <x:c r="D181" s="48"/>
      <x:c r="E181" s="48"/>
      <x:c r="F181" s="48"/>
      <x:c r="G181" s="48"/>
      <x:c r="H181" s="48"/>
      <x:c r="I181" s="48"/>
      <x:c r="J181" s="48"/>
      <x:c r="K181" s="48"/>
      <x:c r="L181" s="48"/>
      <x:c r="M181" s="48"/>
      <x:c r="N181" s="48"/>
      <x:c r="O181" s="48"/>
      <x:c r="P181" s="48"/>
      <x:c r="Q181" s="48"/>
      <x:c r="R181" s="48"/>
      <x:c r="S181" s="48"/>
      <x:c r="T181" s="48"/>
      <x:c r="U181" s="48"/>
      <x:c r="V181" s="48"/>
      <x:c r="W181" s="48"/>
      <x:c r="X181" s="48"/>
      <x:c r="Y181" s="48"/>
      <x:c r="Z181" s="48"/>
    </x:row>
    <x:row r="182">
      <x:c r="A182" s="48"/>
      <x:c r="B182" s="48"/>
      <x:c r="C182" s="48"/>
      <x:c r="D182" s="48"/>
      <x:c r="E182" s="48"/>
      <x:c r="F182" s="48"/>
      <x:c r="G182" s="48"/>
      <x:c r="H182" s="48"/>
      <x:c r="I182" s="48"/>
      <x:c r="J182" s="48"/>
      <x:c r="K182" s="48"/>
      <x:c r="L182" s="48"/>
      <x:c r="M182" s="48"/>
      <x:c r="N182" s="48"/>
      <x:c r="O182" s="48"/>
      <x:c r="P182" s="48"/>
      <x:c r="Q182" s="48"/>
      <x:c r="R182" s="48"/>
      <x:c r="S182" s="48"/>
      <x:c r="T182" s="48"/>
      <x:c r="U182" s="48"/>
      <x:c r="V182" s="48"/>
      <x:c r="W182" s="48"/>
      <x:c r="X182" s="48"/>
      <x:c r="Y182" s="48"/>
      <x:c r="Z182" s="48"/>
    </x:row>
    <x:row r="183">
      <x:c r="A183" s="48"/>
      <x:c r="B183" s="48"/>
      <x:c r="C183" s="48"/>
      <x:c r="D183" s="48"/>
      <x:c r="E183" s="48"/>
      <x:c r="F183" s="48"/>
      <x:c r="G183" s="48"/>
      <x:c r="H183" s="48"/>
      <x:c r="I183" s="48"/>
      <x:c r="J183" s="48"/>
      <x:c r="K183" s="48"/>
      <x:c r="L183" s="48"/>
      <x:c r="M183" s="48"/>
      <x:c r="N183" s="48"/>
      <x:c r="O183" s="48"/>
      <x:c r="P183" s="48"/>
      <x:c r="Q183" s="48"/>
      <x:c r="R183" s="48"/>
      <x:c r="S183" s="48"/>
      <x:c r="T183" s="48"/>
      <x:c r="U183" s="48"/>
      <x:c r="V183" s="48"/>
      <x:c r="W183" s="48"/>
      <x:c r="X183" s="48"/>
      <x:c r="Y183" s="48"/>
      <x:c r="Z183" s="48"/>
    </x:row>
    <x:row r="184">
      <x:c r="A184" s="48"/>
      <x:c r="B184" s="48"/>
      <x:c r="C184" s="48"/>
      <x:c r="D184" s="48"/>
      <x:c r="E184" s="48"/>
      <x:c r="F184" s="48"/>
      <x:c r="G184" s="48"/>
      <x:c r="H184" s="48"/>
      <x:c r="I184" s="48"/>
      <x:c r="J184" s="48"/>
      <x:c r="K184" s="48"/>
      <x:c r="L184" s="48"/>
      <x:c r="M184" s="48"/>
      <x:c r="N184" s="48"/>
      <x:c r="O184" s="48"/>
      <x:c r="P184" s="48"/>
      <x:c r="Q184" s="48"/>
      <x:c r="R184" s="48"/>
      <x:c r="S184" s="48"/>
      <x:c r="T184" s="48"/>
      <x:c r="U184" s="48"/>
      <x:c r="V184" s="48"/>
      <x:c r="W184" s="48"/>
      <x:c r="X184" s="48"/>
      <x:c r="Y184" s="48"/>
      <x:c r="Z184" s="48"/>
    </x:row>
    <x:row r="185">
      <x:c r="A185" s="48"/>
      <x:c r="B185" s="48"/>
      <x:c r="C185" s="48"/>
      <x:c r="D185" s="48"/>
      <x:c r="E185" s="48"/>
      <x:c r="F185" s="48"/>
      <x:c r="G185" s="48"/>
      <x:c r="H185" s="48"/>
      <x:c r="I185" s="48"/>
      <x:c r="J185" s="48"/>
      <x:c r="K185" s="48"/>
      <x:c r="L185" s="48"/>
      <x:c r="M185" s="48"/>
      <x:c r="N185" s="48"/>
      <x:c r="O185" s="48"/>
      <x:c r="P185" s="48"/>
      <x:c r="Q185" s="48"/>
      <x:c r="R185" s="48"/>
      <x:c r="S185" s="48"/>
      <x:c r="T185" s="48"/>
      <x:c r="U185" s="48"/>
      <x:c r="V185" s="48"/>
      <x:c r="W185" s="48"/>
      <x:c r="X185" s="48"/>
      <x:c r="Y185" s="48"/>
      <x:c r="Z185" s="48"/>
    </x:row>
    <x:row r="186">
      <x:c r="A186" s="48"/>
      <x:c r="B186" s="48"/>
      <x:c r="C186" s="48"/>
      <x:c r="D186" s="48"/>
      <x:c r="E186" s="48"/>
      <x:c r="F186" s="48"/>
      <x:c r="G186" s="48"/>
      <x:c r="H186" s="48"/>
      <x:c r="I186" s="48"/>
      <x:c r="J186" s="48"/>
      <x:c r="K186" s="48"/>
      <x:c r="L186" s="48"/>
      <x:c r="M186" s="48"/>
      <x:c r="N186" s="48"/>
      <x:c r="O186" s="48"/>
      <x:c r="P186" s="48"/>
      <x:c r="Q186" s="48"/>
      <x:c r="R186" s="48"/>
      <x:c r="S186" s="48"/>
      <x:c r="T186" s="48"/>
      <x:c r="U186" s="48"/>
      <x:c r="V186" s="48"/>
      <x:c r="W186" s="48"/>
      <x:c r="X186" s="48"/>
      <x:c r="Y186" s="48"/>
      <x:c r="Z186" s="48"/>
    </x:row>
    <x:row r="187">
      <x:c r="A187" s="48"/>
      <x:c r="B187" s="48"/>
      <x:c r="C187" s="48"/>
      <x:c r="D187" s="48"/>
      <x:c r="E187" s="48"/>
      <x:c r="F187" s="48"/>
      <x:c r="G187" s="48"/>
      <x:c r="H187" s="48"/>
      <x:c r="I187" s="48"/>
      <x:c r="J187" s="48"/>
      <x:c r="K187" s="48"/>
      <x:c r="L187" s="48"/>
      <x:c r="M187" s="48"/>
      <x:c r="N187" s="48"/>
      <x:c r="O187" s="48"/>
      <x:c r="P187" s="48"/>
      <x:c r="Q187" s="48"/>
      <x:c r="R187" s="48"/>
      <x:c r="S187" s="48"/>
      <x:c r="T187" s="48"/>
      <x:c r="U187" s="48"/>
      <x:c r="V187" s="48"/>
      <x:c r="W187" s="48"/>
      <x:c r="X187" s="48"/>
      <x:c r="Y187" s="48"/>
      <x:c r="Z187" s="48"/>
    </x:row>
    <x:row r="188">
      <x:c r="A188" s="48"/>
      <x:c r="B188" s="48"/>
      <x:c r="C188" s="48"/>
      <x:c r="D188" s="48"/>
      <x:c r="E188" s="48"/>
      <x:c r="F188" s="48"/>
      <x:c r="G188" s="48"/>
      <x:c r="H188" s="48"/>
      <x:c r="I188" s="48"/>
      <x:c r="J188" s="48"/>
      <x:c r="K188" s="48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  <x:c r="W188" s="48"/>
      <x:c r="X188" s="48"/>
      <x:c r="Y188" s="48"/>
      <x:c r="Z188" s="48"/>
    </x:row>
    <x:row r="189">
      <x:c r="A189" s="48"/>
      <x:c r="B189" s="48"/>
      <x:c r="C189" s="48"/>
      <x:c r="D189" s="48"/>
      <x:c r="E189" s="48"/>
      <x:c r="F189" s="48"/>
      <x:c r="G189" s="48"/>
      <x:c r="H189" s="48"/>
      <x:c r="I189" s="48"/>
      <x:c r="J189" s="48"/>
      <x:c r="K189" s="48"/>
      <x:c r="L189" s="48"/>
      <x:c r="M189" s="48"/>
      <x:c r="N189" s="48"/>
      <x:c r="O189" s="48"/>
      <x:c r="P189" s="48"/>
      <x:c r="Q189" s="48"/>
      <x:c r="R189" s="48"/>
      <x:c r="S189" s="48"/>
      <x:c r="T189" s="48"/>
      <x:c r="U189" s="48"/>
      <x:c r="V189" s="48"/>
      <x:c r="W189" s="48"/>
      <x:c r="X189" s="48"/>
      <x:c r="Y189" s="48"/>
      <x:c r="Z189" s="48"/>
    </x:row>
    <x:row r="190">
      <x:c r="A190" s="48"/>
      <x:c r="B190" s="48"/>
      <x:c r="C190" s="48"/>
      <x:c r="D190" s="48"/>
      <x:c r="E190" s="48"/>
      <x:c r="F190" s="48"/>
      <x:c r="G190" s="48"/>
      <x:c r="H190" s="48"/>
      <x:c r="I190" s="48"/>
      <x:c r="J190" s="48"/>
      <x:c r="K190" s="48"/>
      <x:c r="L190" s="48"/>
      <x:c r="M190" s="48"/>
      <x:c r="N190" s="48"/>
      <x:c r="O190" s="48"/>
      <x:c r="P190" s="48"/>
      <x:c r="Q190" s="48"/>
      <x:c r="R190" s="48"/>
      <x:c r="S190" s="48"/>
      <x:c r="T190" s="48"/>
      <x:c r="U190" s="48"/>
      <x:c r="V190" s="48"/>
      <x:c r="W190" s="48"/>
      <x:c r="X190" s="48"/>
      <x:c r="Y190" s="48"/>
      <x:c r="Z190" s="48"/>
    </x:row>
    <x:row r="191">
      <x:c r="A191" s="48"/>
      <x:c r="B191" s="48"/>
      <x:c r="C191" s="48"/>
      <x:c r="D191" s="48"/>
      <x:c r="E191" s="48"/>
      <x:c r="F191" s="48"/>
      <x:c r="G191" s="48"/>
      <x:c r="H191" s="48"/>
      <x:c r="I191" s="48"/>
      <x:c r="J191" s="48"/>
      <x:c r="K191" s="48"/>
      <x:c r="L191" s="48"/>
      <x:c r="M191" s="48"/>
      <x:c r="N191" s="48"/>
      <x:c r="O191" s="48"/>
      <x:c r="P191" s="48"/>
      <x:c r="Q191" s="48"/>
      <x:c r="R191" s="48"/>
      <x:c r="S191" s="48"/>
      <x:c r="T191" s="48"/>
      <x:c r="U191" s="48"/>
      <x:c r="V191" s="48"/>
      <x:c r="W191" s="48"/>
      <x:c r="X191" s="48"/>
      <x:c r="Y191" s="48"/>
      <x:c r="Z191" s="48"/>
    </x:row>
    <x:row r="192">
      <x:c r="A192" s="48"/>
      <x:c r="B192" s="48"/>
      <x:c r="C192" s="48"/>
      <x:c r="D192" s="48"/>
      <x:c r="E192" s="48"/>
      <x:c r="F192" s="48"/>
      <x:c r="G192" s="48"/>
      <x:c r="H192" s="48"/>
      <x:c r="I192" s="48"/>
      <x:c r="J192" s="48"/>
      <x:c r="K192" s="48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  <x:c r="W192" s="48"/>
      <x:c r="X192" s="48"/>
      <x:c r="Y192" s="48"/>
      <x:c r="Z192" s="48"/>
    </x:row>
    <x:row r="193">
      <x:c r="A193" s="48"/>
      <x:c r="B193" s="48"/>
      <x:c r="C193" s="48"/>
      <x:c r="D193" s="48"/>
      <x:c r="E193" s="48"/>
      <x:c r="F193" s="48"/>
      <x:c r="G193" s="48"/>
      <x:c r="H193" s="48"/>
      <x:c r="I193" s="48"/>
      <x:c r="J193" s="48"/>
      <x:c r="K193" s="48"/>
      <x:c r="L193" s="48"/>
      <x:c r="M193" s="48"/>
      <x:c r="N193" s="48"/>
      <x:c r="O193" s="48"/>
      <x:c r="P193" s="48"/>
      <x:c r="Q193" s="48"/>
      <x:c r="R193" s="48"/>
      <x:c r="S193" s="48"/>
      <x:c r="T193" s="48"/>
      <x:c r="U193" s="48"/>
      <x:c r="V193" s="48"/>
      <x:c r="W193" s="48"/>
      <x:c r="X193" s="48"/>
      <x:c r="Y193" s="48"/>
      <x:c r="Z193" s="48"/>
    </x:row>
    <x:row r="194">
      <x:c r="A194" s="48"/>
      <x:c r="B194" s="48"/>
      <x:c r="C194" s="48"/>
      <x:c r="D194" s="48"/>
      <x:c r="E194" s="48"/>
      <x:c r="F194" s="48"/>
      <x:c r="G194" s="48"/>
      <x:c r="H194" s="48"/>
      <x:c r="I194" s="48"/>
      <x:c r="J194" s="48"/>
      <x:c r="K194" s="48"/>
      <x:c r="L194" s="48"/>
      <x:c r="M194" s="48"/>
      <x:c r="N194" s="48"/>
      <x:c r="O194" s="48"/>
      <x:c r="P194" s="48"/>
      <x:c r="Q194" s="48"/>
      <x:c r="R194" s="48"/>
      <x:c r="S194" s="48"/>
      <x:c r="T194" s="48"/>
      <x:c r="U194" s="48"/>
      <x:c r="V194" s="48"/>
      <x:c r="W194" s="48"/>
      <x:c r="X194" s="48"/>
      <x:c r="Y194" s="48"/>
      <x:c r="Z194" s="48"/>
    </x:row>
    <x:row r="195">
      <x:c r="A195" s="48"/>
      <x:c r="B195" s="48"/>
      <x:c r="C195" s="48"/>
      <x:c r="D195" s="48"/>
      <x:c r="E195" s="48"/>
      <x:c r="F195" s="48"/>
      <x:c r="G195" s="48"/>
      <x:c r="H195" s="48"/>
      <x:c r="I195" s="48"/>
      <x:c r="J195" s="48"/>
      <x:c r="K195" s="48"/>
      <x:c r="L195" s="48"/>
      <x:c r="M195" s="48"/>
      <x:c r="N195" s="48"/>
      <x:c r="O195" s="48"/>
      <x:c r="P195" s="48"/>
      <x:c r="Q195" s="48"/>
      <x:c r="R195" s="48"/>
      <x:c r="S195" s="48"/>
      <x:c r="T195" s="48"/>
      <x:c r="U195" s="48"/>
      <x:c r="V195" s="48"/>
      <x:c r="W195" s="48"/>
      <x:c r="X195" s="48"/>
      <x:c r="Y195" s="48"/>
      <x:c r="Z195" s="48"/>
    </x:row>
    <x:row r="196">
      <x:c r="A196" s="48"/>
      <x:c r="B196" s="48"/>
      <x:c r="C196" s="48"/>
      <x:c r="D196" s="48"/>
      <x:c r="E196" s="48"/>
      <x:c r="F196" s="48"/>
      <x:c r="G196" s="48"/>
      <x:c r="H196" s="48"/>
      <x:c r="I196" s="48"/>
      <x:c r="J196" s="48"/>
      <x:c r="K196" s="48"/>
      <x:c r="L196" s="48"/>
      <x:c r="M196" s="48"/>
      <x:c r="N196" s="48"/>
      <x:c r="O196" s="48"/>
      <x:c r="P196" s="48"/>
      <x:c r="Q196" s="48"/>
      <x:c r="R196" s="48"/>
      <x:c r="S196" s="48"/>
      <x:c r="T196" s="48"/>
      <x:c r="U196" s="48"/>
      <x:c r="V196" s="48"/>
      <x:c r="W196" s="48"/>
      <x:c r="X196" s="48"/>
      <x:c r="Y196" s="48"/>
      <x:c r="Z196" s="48"/>
    </x:row>
    <x:row r="197">
      <x:c r="A197" s="48"/>
      <x:c r="B197" s="48"/>
      <x:c r="C197" s="48"/>
      <x:c r="D197" s="48"/>
      <x:c r="E197" s="48"/>
      <x:c r="F197" s="48"/>
      <x:c r="G197" s="48"/>
      <x:c r="H197" s="48"/>
      <x:c r="I197" s="48"/>
      <x:c r="J197" s="48"/>
      <x:c r="K197" s="48"/>
      <x:c r="L197" s="48"/>
      <x:c r="M197" s="48"/>
      <x:c r="N197" s="48"/>
      <x:c r="O197" s="48"/>
      <x:c r="P197" s="48"/>
      <x:c r="Q197" s="48"/>
      <x:c r="R197" s="48"/>
      <x:c r="S197" s="48"/>
      <x:c r="T197" s="48"/>
      <x:c r="U197" s="48"/>
      <x:c r="V197" s="48"/>
      <x:c r="W197" s="48"/>
      <x:c r="X197" s="48"/>
      <x:c r="Y197" s="48"/>
      <x:c r="Z197" s="48"/>
    </x:row>
    <x:row r="198">
      <x:c r="A198" s="48"/>
      <x:c r="B198" s="48"/>
      <x:c r="C198" s="48"/>
      <x:c r="D198" s="48"/>
      <x:c r="E198" s="48"/>
      <x:c r="F198" s="48"/>
      <x:c r="G198" s="48"/>
      <x:c r="H198" s="48"/>
      <x:c r="I198" s="48"/>
      <x:c r="J198" s="48"/>
      <x:c r="K198" s="48"/>
      <x:c r="L198" s="48"/>
      <x:c r="M198" s="48"/>
      <x:c r="N198" s="48"/>
      <x:c r="O198" s="48"/>
      <x:c r="P198" s="48"/>
      <x:c r="Q198" s="48"/>
      <x:c r="R198" s="48"/>
      <x:c r="S198" s="48"/>
      <x:c r="T198" s="48"/>
      <x:c r="U198" s="48"/>
      <x:c r="V198" s="48"/>
      <x:c r="W198" s="48"/>
      <x:c r="X198" s="48"/>
      <x:c r="Y198" s="48"/>
      <x:c r="Z198" s="48"/>
    </x:row>
    <x:row r="199">
      <x:c r="A199" s="48"/>
      <x:c r="B199" s="48"/>
      <x:c r="C199" s="48"/>
      <x:c r="D199" s="48"/>
      <x:c r="E199" s="48"/>
      <x:c r="F199" s="48"/>
      <x:c r="G199" s="48"/>
      <x:c r="H199" s="48"/>
      <x:c r="I199" s="48"/>
      <x:c r="J199" s="48"/>
      <x:c r="K199" s="48"/>
      <x:c r="L199" s="48"/>
      <x:c r="M199" s="48"/>
      <x:c r="N199" s="48"/>
      <x:c r="O199" s="48"/>
      <x:c r="P199" s="48"/>
      <x:c r="Q199" s="48"/>
      <x:c r="R199" s="48"/>
      <x:c r="S199" s="48"/>
      <x:c r="T199" s="48"/>
      <x:c r="U199" s="48"/>
      <x:c r="V199" s="48"/>
      <x:c r="W199" s="48"/>
      <x:c r="X199" s="48"/>
      <x:c r="Y199" s="48"/>
      <x:c r="Z199" s="48"/>
    </x:row>
    <x:row r="200">
      <x:c r="A200" s="48"/>
      <x:c r="B200" s="48"/>
      <x:c r="C200" s="48"/>
      <x:c r="D200" s="48"/>
      <x:c r="E200" s="48"/>
      <x:c r="F200" s="48"/>
      <x:c r="G200" s="48"/>
      <x:c r="H200" s="48"/>
      <x:c r="I200" s="48"/>
      <x:c r="J200" s="48"/>
      <x:c r="K200" s="48"/>
      <x:c r="L200" s="48"/>
      <x:c r="M200" s="48"/>
      <x:c r="N200" s="48"/>
      <x:c r="O200" s="48"/>
      <x:c r="P200" s="48"/>
      <x:c r="Q200" s="48"/>
      <x:c r="R200" s="48"/>
      <x:c r="S200" s="48"/>
      <x:c r="T200" s="48"/>
      <x:c r="U200" s="48"/>
      <x:c r="V200" s="48"/>
      <x:c r="W200" s="48"/>
      <x:c r="X200" s="48"/>
      <x:c r="Y200" s="48"/>
      <x:c r="Z200" s="48"/>
    </x:row>
  </x:sheetData>
  <x:conditionalFormatting sqref="Q2:Q200">
    <x:cfRule type="expression" dxfId="0" priority="1">
      <x:formula>Q2="VERIFIED"</x:formula>
    </x:cfRule>
    <x:cfRule type="expression" dxfId="1" priority="2">
      <x:formula>Q2="DRAFT"</x:formula>
    </x:cfRule>
  </x:conditionalFormatting>
  <x:dataValidations count="4">
    <x:dataValidation type="list" sqref="K2:K200">
      <x:formula1>"DAILY,CUSHION_LONG,STABILITY,SPEED_TRAINING,SUPER_TRAINER,RACE"</x:formula1>
    </x:dataValidation>
    <x:dataValidation type="list" sqref="M2:M200">
      <x:formula1>"GENERAL,PERFORMANCE,SPECIALIZED"</x:formula1>
    </x:dataValidation>
    <x:dataValidation type="list" sqref="Q2:Q200">
      <x:formula1>"DRAFT,VERIFIED,STALE,EXCLUDED"</x:formula1>
    </x:dataValidation>
    <x:dataValidation type="list" sqref="R2:R2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751b88d633486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20" hidden="0" customWidth="1"/>
    <x:col min="12" max="12" width="14" hidden="0" customWidth="1"/>
    <x:col min="13" max="13" width="13" hidden="0" customWidth="1"/>
    <x:col min="14" max="14" width="26" hidden="0" customWidth="1"/>
    <x:col min="15" max="15" width="46" hidden="0" customWidth="1"/>
  </x:cols>
  <x:sheetData>
    <x:row r="1">
      <x:c r="A1" s="8" t="str">
        <x:v>product_id</x:v>
      </x:c>
      <x:c r="B1" s="8" t="str">
        <x:v>display_name</x:v>
      </x:c>
      <x:c r="C1" s="8" t="str">
        <x:v>daily</x:v>
      </x:c>
      <x:c r="D1" s="8" t="str">
        <x:v>comfort</x:v>
      </x:c>
      <x:c r="E1" s="8" t="str">
        <x:v>stability</x:v>
      </x:c>
      <x:c r="F1" s="8" t="str">
        <x:v>responsiveness</x:v>
      </x:c>
      <x:c r="G1" s="8" t="str">
        <x:v>long_run</x:v>
      </x:c>
      <x:c r="H1" s="8" t="str">
        <x:v>speed</x:v>
      </x:c>
      <x:c r="I1" s="8" t="str">
        <x:v>race</x:v>
      </x:c>
      <x:c r="J1" s="8" t="str">
        <x:v>versatility</x:v>
      </x:c>
      <x:c r="K1" s="8" t="str">
        <x:v>score_status</x:v>
      </x:c>
      <x:c r="L1" s="8" t="str">
        <x:v>evidence_count</x:v>
      </x:c>
      <x:c r="M1" s="8" t="str">
        <x:v>reviewed_at</x:v>
      </x:c>
      <x:c r="N1" s="8" t="str">
        <x:v>reviewer</x:v>
      </x:c>
      <x:c r="O1" s="8" t="str">
        <x:v>notes</x:v>
      </x:c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49" t="str">
        <x:v>nike_pegasus_42</x:v>
      </x:c>
      <x:c r="B2" s="49" t="str">
        <x:v>Nike Pegasus 42</x:v>
      </x:c>
      <x:c r="C2" s="49" t="n">
        <x:v>90</x:v>
      </x:c>
      <x:c r="D2" s="49" t="n">
        <x:v>75</x:v>
      </x:c>
      <x:c r="E2" s="49" t="n">
        <x:v>85</x:v>
      </x:c>
      <x:c r="F2" s="49" t="n">
        <x:v>50</x:v>
      </x:c>
      <x:c r="G2" s="49" t="n">
        <x:v>60</x:v>
      </x:c>
      <x:c r="H2" s="49" t="n">
        <x:v>45</x:v>
      </x:c>
      <x:c r="I2" s="49" t="n">
        <x:v>20</x:v>
      </x:c>
      <x:c r="J2" s="49" t="n">
        <x:v>75</x:v>
      </x:c>
      <x:c r="K2" s="49" t="str">
        <x:v>RECALIBRATED_V1_1</x:v>
      </x:c>
      <x:c r="L2" s="49" t="n">
        <x:f>COUNTIF('03_Product_Evidence'!$A:$A,A2)</x:f>
        <x:v>8</x:v>
      </x:c>
      <x:c r="M2" s="56" t="n">
        <x:v>46269</x:v>
      </x:c>
      <x:c r="N2" s="49" t="str">
        <x:v>GearMatch AI calibration v1.1</x:v>
      </x:c>
      <x:c r="O2" s="49" t="str">
        <x:v>Race/Speed보다 일상 데일리 역할을 중심으로 유지하고 versatility를 소폭 낮춰 범용성 과대평가를 완화.</x:v>
      </x:c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49" t="str">
        <x:v>nike_vomero_18</x:v>
      </x:c>
      <x:c r="B3" s="49" t="str">
        <x:v>Nike Vomero 18</x:v>
      </x:c>
      <x:c r="C3" s="49"/>
      <x:c r="D3" s="49"/>
      <x:c r="E3" s="49"/>
      <x:c r="F3" s="49"/>
      <x:c r="G3" s="49"/>
      <x:c r="H3" s="49"/>
      <x:c r="I3" s="49"/>
      <x:c r="J3" s="49"/>
      <x:c r="K3" s="49" t="str">
        <x:v>NEEDS_VERIFICATION</x:v>
      </x:c>
      <x:c r="L3" s="49" t="n">
        <x:f>COUNTIF('03_Product_Evidence'!$A:$A,A3)</x:f>
        <x:v>0</x:v>
      </x:c>
      <x:c r="M3" s="56"/>
      <x:c r="N3" s="49"/>
      <x:c r="O3" s="49" t="str">
        <x:v>Product Master normalized; P0 attribute research required.</x:v>
      </x:c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>
      <x:c r="A4" s="49" t="str">
        <x:v>nike_structure_26</x:v>
      </x:c>
      <x:c r="B4" s="49" t="str">
        <x:v>Nike Structure 26</x:v>
      </x:c>
      <x:c r="C4" s="49"/>
      <x:c r="D4" s="49"/>
      <x:c r="E4" s="49"/>
      <x:c r="F4" s="49"/>
      <x:c r="G4" s="49"/>
      <x:c r="H4" s="49"/>
      <x:c r="I4" s="49"/>
      <x:c r="J4" s="49"/>
      <x:c r="K4" s="49" t="str">
        <x:v>NEEDS_VERIFICATION</x:v>
      </x:c>
      <x:c r="L4" s="49" t="n">
        <x:f>COUNTIF('03_Product_Evidence'!$A:$A,A4)</x:f>
        <x:v>0</x:v>
      </x:c>
      <x:c r="M4" s="56"/>
      <x:c r="N4" s="49"/>
      <x:c r="O4" s="49" t="str">
        <x:v>Product Master normalized; P0 attribute research required.</x:v>
      </x:c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>
      <x:c r="A5" s="49" t="str">
        <x:v>nike_zoom_fly_6</x:v>
      </x:c>
      <x:c r="B5" s="49" t="str">
        <x:v>Nike Zoom Fly 6</x:v>
      </x:c>
      <x:c r="C5" s="49"/>
      <x:c r="D5" s="49"/>
      <x:c r="E5" s="49"/>
      <x:c r="F5" s="49"/>
      <x:c r="G5" s="49"/>
      <x:c r="H5" s="49"/>
      <x:c r="I5" s="49"/>
      <x:c r="J5" s="49"/>
      <x:c r="K5" s="49" t="str">
        <x:v>NEEDS_VERIFICATION</x:v>
      </x:c>
      <x:c r="L5" s="49" t="n">
        <x:f>COUNTIF('03_Product_Evidence'!$A:$A,A5)</x:f>
        <x:v>0</x:v>
      </x:c>
      <x:c r="M5" s="56"/>
      <x:c r="N5" s="49"/>
      <x:c r="O5" s="49" t="str">
        <x:v>Product Master normalized; P0 attribute research required.</x:v>
      </x:c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>
      <x:c r="A6" s="49" t="str">
        <x:v>nike_alphafly_3</x:v>
      </x:c>
      <x:c r="B6" s="49" t="str">
        <x:v>Nike Alphafly 3</x:v>
      </x:c>
      <x:c r="C6" s="49" t="n">
        <x:v>25</x:v>
      </x:c>
      <x:c r="D6" s="49" t="n">
        <x:v>70</x:v>
      </x:c>
      <x:c r="E6" s="49" t="n">
        <x:v>75</x:v>
      </x:c>
      <x:c r="F6" s="49" t="n">
        <x:v>95</x:v>
      </x:c>
      <x:c r="G6" s="49" t="n">
        <x:v>75</x:v>
      </x:c>
      <x:c r="H6" s="49" t="n">
        <x:v>95</x:v>
      </x:c>
      <x:c r="I6" s="49" t="n">
        <x:v>95</x:v>
      </x:c>
      <x:c r="J6" s="49" t="n">
        <x:v>25</x:v>
      </x:c>
      <x:c r="K6" s="49" t="str">
        <x:v>RECALIBRATED_V1_1</x:v>
      </x:c>
      <x:c r="L6" s="49" t="n">
        <x:f>COUNTIF('03_Product_Evidence'!$A:$A,A6)</x:f>
        <x:v>8</x:v>
      </x:c>
      <x:c r="M6" s="56" t="n">
        <x:v>46269</x:v>
      </x:c>
      <x:c r="N6" s="49" t="str">
        <x:v>GearMatch AI calibration v1.1</x:v>
      </x:c>
      <x:c r="O6" s="49" t="str">
        <x:v>Race 가능성과 Race 특화를 분리. 데일리/범용 점수를 크게 낮춰 전용 레이스 성격을 반영.</x:v>
      </x:c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>
      <x:c r="A7" s="49" t="str">
        <x:v>adidas_supernova_rise_3</x:v>
      </x:c>
      <x:c r="B7" s="49" t="str">
        <x:v>Adidas Supernova Rise 3</x:v>
      </x:c>
      <x:c r="C7" s="49"/>
      <x:c r="D7" s="49"/>
      <x:c r="E7" s="49"/>
      <x:c r="F7" s="49"/>
      <x:c r="G7" s="49"/>
      <x:c r="H7" s="49"/>
      <x:c r="I7" s="49"/>
      <x:c r="J7" s="49"/>
      <x:c r="K7" s="49" t="str">
        <x:v>NEEDS_VERIFICATION</x:v>
      </x:c>
      <x:c r="L7" s="49" t="n">
        <x:f>COUNTIF('03_Product_Evidence'!$A:$A,A7)</x:f>
        <x:v>0</x:v>
      </x:c>
      <x:c r="M7" s="56"/>
      <x:c r="N7" s="49"/>
      <x:c r="O7" s="49" t="str">
        <x:v>Product Master normalized; P0 attribute research required.</x:v>
      </x:c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>
      <x:c r="A8" s="49" t="str">
        <x:v>adidas_adizero_evo_sl</x:v>
      </x:c>
      <x:c r="B8" s="49" t="str">
        <x:v>Adidas Adizero EVO SL</x:v>
      </x:c>
      <x:c r="C8" s="49"/>
      <x:c r="D8" s="49"/>
      <x:c r="E8" s="49"/>
      <x:c r="F8" s="49"/>
      <x:c r="G8" s="49"/>
      <x:c r="H8" s="49"/>
      <x:c r="I8" s="49"/>
      <x:c r="J8" s="49"/>
      <x:c r="K8" s="49" t="str">
        <x:v>NEEDS_VERIFICATION</x:v>
      </x:c>
      <x:c r="L8" s="49" t="n">
        <x:f>COUNTIF('03_Product_Evidence'!$A:$A,A8)</x:f>
        <x:v>0</x:v>
      </x:c>
      <x:c r="M8" s="56"/>
      <x:c r="N8" s="49"/>
      <x:c r="O8" s="49" t="str">
        <x:v>Product Master normalized; P0 attribute research required.</x:v>
      </x:c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>
      <x:c r="A9" s="49" t="str">
        <x:v>adidas_adios_pro_4</x:v>
      </x:c>
      <x:c r="B9" s="49" t="str">
        <x:v>Adidas Adizero Adios Pro 4</x:v>
      </x:c>
      <x:c r="C9" s="49"/>
      <x:c r="D9" s="49"/>
      <x:c r="E9" s="49"/>
      <x:c r="F9" s="49"/>
      <x:c r="G9" s="49"/>
      <x:c r="H9" s="49"/>
      <x:c r="I9" s="49"/>
      <x:c r="J9" s="49"/>
      <x:c r="K9" s="49" t="str">
        <x:v>NEEDS_VERIFICATION</x:v>
      </x:c>
      <x:c r="L9" s="49" t="n">
        <x:f>COUNTIF('03_Product_Evidence'!$A:$A,A9)</x:f>
        <x:v>0</x:v>
      </x:c>
      <x:c r="M9" s="56"/>
      <x:c r="N9" s="49"/>
      <x:c r="O9" s="49" t="str">
        <x:v>Product Master normalized; P0 attribute research required.</x:v>
      </x:c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>
      <x:c r="A10" s="49" t="str">
        <x:v>nb_1080_v15</x:v>
      </x:c>
      <x:c r="B10" s="49" t="str">
        <x:v>New Balance Fresh Foam X 1080 v15</x:v>
      </x:c>
      <x:c r="C10" s="49" t="n">
        <x:v>95</x:v>
      </x:c>
      <x:c r="D10" s="49" t="n">
        <x:v>95</x:v>
      </x:c>
      <x:c r="E10" s="49" t="n">
        <x:v>65</x:v>
      </x:c>
      <x:c r="F10" s="49" t="n">
        <x:v>80</x:v>
      </x:c>
      <x:c r="G10" s="49" t="n">
        <x:v>90</x:v>
      </x:c>
      <x:c r="H10" s="49" t="n">
        <x:v>65</x:v>
      </x:c>
      <x:c r="I10" s="49" t="n">
        <x:v>25</x:v>
      </x:c>
      <x:c r="J10" s="49" t="n">
        <x:v>80</x:v>
      </x:c>
      <x:c r="K10" s="49" t="str">
        <x:v>RECALIBRATED_V1_1</x:v>
      </x:c>
      <x:c r="L10" s="49" t="n">
        <x:f>COUNTIF('03_Product_Evidence'!$A:$A,A10)</x:f>
        <x:v>8</x:v>
      </x:c>
      <x:c r="M10" s="56" t="n">
        <x:v>46269</x:v>
      </x:c>
      <x:c r="N10" s="49" t="str">
        <x:v>GearMatch AI calibration v1.1</x:v>
      </x:c>
      <x:c r="O10" s="49" t="str">
        <x:v>반응성은 유지하되 speed/race를 낮춰 프리미엄 데일리·롱런 중심 역할을 반영.</x:v>
      </x:c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>
      <x:c r="A11" s="49" t="str">
        <x:v>nb_880_v15</x:v>
      </x:c>
      <x:c r="B11" s="49" t="str">
        <x:v>New Balance Fresh Foam X 880 v15</x:v>
      </x:c>
      <x:c r="C11" s="49"/>
      <x:c r="D11" s="49"/>
      <x:c r="E11" s="49"/>
      <x:c r="F11" s="49"/>
      <x:c r="G11" s="49"/>
      <x:c r="H11" s="49"/>
      <x:c r="I11" s="49"/>
      <x:c r="J11" s="49"/>
      <x:c r="K11" s="49" t="str">
        <x:v>NEEDS_VERIFICATION</x:v>
      </x:c>
      <x:c r="L11" s="49" t="n">
        <x:f>COUNTIF('03_Product_Evidence'!$A:$A,A11)</x:f>
        <x:v>0</x:v>
      </x:c>
      <x:c r="M11" s="56"/>
      <x:c r="N11" s="49"/>
      <x:c r="O11" s="49" t="str">
        <x:v>Product Master normalized; P0 attribute research required.</x:v>
      </x:c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>
      <x:c r="A12" s="49" t="str">
        <x:v>nb_860_v15</x:v>
      </x:c>
      <x:c r="B12" s="49" t="str">
        <x:v>New Balance Fresh Foam X 860 v15</x:v>
      </x:c>
      <x:c r="C12" s="49" t="n">
        <x:v>85</x:v>
      </x:c>
      <x:c r="D12" s="49" t="n">
        <x:v>90</x:v>
      </x:c>
      <x:c r="E12" s="49" t="n">
        <x:v>85</x:v>
      </x:c>
      <x:c r="F12" s="49" t="n">
        <x:v>55</x:v>
      </x:c>
      <x:c r="G12" s="49" t="n">
        <x:v>80</x:v>
      </x:c>
      <x:c r="H12" s="49" t="n">
        <x:v>35</x:v>
      </x:c>
      <x:c r="I12" s="49" t="n">
        <x:v>15</x:v>
      </x:c>
      <x:c r="J12" s="49" t="n">
        <x:v>65</x:v>
      </x:c>
      <x:c r="K12" s="49" t="str">
        <x:v>RECALIBRATED_V1_1</x:v>
      </x:c>
      <x:c r="L12" s="49" t="n">
        <x:f>COUNTIF('03_Product_Evidence'!$A:$A,A12)</x:f>
        <x:v>8</x:v>
      </x:c>
      <x:c r="M12" s="56" t="n">
        <x:v>46269</x:v>
      </x:c>
      <x:c r="N12" s="49" t="str">
        <x:v>GearMatch AI calibration v1.1</x:v>
      </x:c>
      <x:c r="O12" s="49" t="str">
        <x:v>Stability daily 역할을 유지하고 speed/race를 낮춰 빠른 러닝 적합성 과대평가를 완화.</x:v>
      </x:c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>
      <x:c r="A13" s="49" t="str">
        <x:v>nb_sc_elite_v5</x:v>
      </x:c>
      <x:c r="B13" s="49" t="str">
        <x:v>New Balance FuelCell SuperComp Elite v5</x:v>
      </x:c>
      <x:c r="C13" s="49" t="n">
        <x:v>25</x:v>
      </x:c>
      <x:c r="D13" s="49" t="n">
        <x:v>75</x:v>
      </x:c>
      <x:c r="E13" s="49" t="n">
        <x:v>60</x:v>
      </x:c>
      <x:c r="F13" s="49" t="n">
        <x:v>85</x:v>
      </x:c>
      <x:c r="G13" s="49" t="n">
        <x:v>80</x:v>
      </x:c>
      <x:c r="H13" s="49" t="n">
        <x:v>85</x:v>
      </x:c>
      <x:c r="I13" s="49" t="n">
        <x:v>90</x:v>
      </x:c>
      <x:c r="J13" s="49" t="n">
        <x:v>35</x:v>
      </x:c>
      <x:c r="K13" s="49" t="str">
        <x:v>RECALIBRATED_V1_1</x:v>
      </x:c>
      <x:c r="L13" s="49" t="n">
        <x:f>COUNTIF('03_Product_Evidence'!$A:$A,A13)</x:f>
        <x:v>8</x:v>
      </x:c>
      <x:c r="M13" s="56" t="n">
        <x:v>46269</x:v>
      </x:c>
      <x:c r="N13" s="49" t="str">
        <x:v>GearMatch AI calibration v1.1</x:v>
      </x:c>
      <x:c r="O13" s="49" t="str">
        <x:v>Competition shoe 특화를 반영해 daily/versatility를 낮추고 race specialization 중심으로 재조정.</x:v>
      </x:c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>
      <x:c r="A14" s="49" t="str">
        <x:v>asics_gel_nimbus_28</x:v>
      </x:c>
      <x:c r="B14" s="49" t="str">
        <x:v>ASICS GEL-NIMBUS 28</x:v>
      </x:c>
      <x:c r="C14" s="49" t="n">
        <x:v>90</x:v>
      </x:c>
      <x:c r="D14" s="49" t="n">
        <x:v>95</x:v>
      </x:c>
      <x:c r="E14" s="49" t="n">
        <x:v>85</x:v>
      </x:c>
      <x:c r="F14" s="49" t="n">
        <x:v>40</x:v>
      </x:c>
      <x:c r="G14" s="49" t="n">
        <x:v>90</x:v>
      </x:c>
      <x:c r="H14" s="49" t="n">
        <x:v>35</x:v>
      </x:c>
      <x:c r="I14" s="49" t="n">
        <x:v>15</x:v>
      </x:c>
      <x:c r="J14" s="49" t="n">
        <x:v>70</x:v>
      </x:c>
      <x:c r="K14" s="49" t="str">
        <x:v>RECALIBRATED_V1_1</x:v>
      </x:c>
      <x:c r="L14" s="49" t="n">
        <x:f>COUNTIF('03_Product_Evidence'!$A:$A,A14)</x:f>
        <x:v>8</x:v>
      </x:c>
      <x:c r="M14" s="56" t="n">
        <x:v>46269</x:v>
      </x:c>
      <x:c r="N14" s="49" t="str">
        <x:v>GearMatch AI calibration v1.1</x:v>
      </x:c>
      <x:c r="O14" s="49" t="str">
        <x:v>맥스쿠션 easy/long 중심. speed/race를 낮춰 낮은 energy return과 비레이스 포지셔닝 반영.</x:v>
      </x:c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49" t="str">
        <x:v>asics_novablast_5</x:v>
      </x:c>
      <x:c r="B15" s="49" t="str">
        <x:v>ASICS NOVABLAST 5</x:v>
      </x:c>
      <x:c r="C15" s="49"/>
      <x:c r="D15" s="49"/>
      <x:c r="E15" s="49"/>
      <x:c r="F15" s="49"/>
      <x:c r="G15" s="49"/>
      <x:c r="H15" s="49"/>
      <x:c r="I15" s="49"/>
      <x:c r="J15" s="49"/>
      <x:c r="K15" s="49" t="str">
        <x:v>NEEDS_VERIFICATION</x:v>
      </x:c>
      <x:c r="L15" s="49" t="n">
        <x:f>COUNTIF('03_Product_Evidence'!$A:$A,A15)</x:f>
        <x:v>0</x:v>
      </x:c>
      <x:c r="M15" s="56"/>
      <x:c r="N15" s="49"/>
      <x:c r="O15" s="49" t="str">
        <x:v>Product Master normalized; P0 attribute research required.</x:v>
      </x:c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49" t="str">
        <x:v>asics_superblast_3</x:v>
      </x:c>
      <x:c r="B16" s="49" t="str">
        <x:v>ASICS SUPERBLAST 3</x:v>
      </x:c>
      <x:c r="C16" s="49"/>
      <x:c r="D16" s="49"/>
      <x:c r="E16" s="49"/>
      <x:c r="F16" s="49"/>
      <x:c r="G16" s="49"/>
      <x:c r="H16" s="49"/>
      <x:c r="I16" s="49"/>
      <x:c r="J16" s="49"/>
      <x:c r="K16" s="49" t="str">
        <x:v>NEEDS_VERIFICATION</x:v>
      </x:c>
      <x:c r="L16" s="49" t="n">
        <x:f>COUNTIF('03_Product_Evidence'!$A:$A,A16)</x:f>
        <x:v>0</x:v>
      </x:c>
      <x:c r="M16" s="56"/>
      <x:c r="N16" s="49"/>
      <x:c r="O16" s="49" t="str">
        <x:v>Product Master normalized; P0 attribute research required.</x:v>
      </x:c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49" t="str">
        <x:v>saucony_ride_19</x:v>
      </x:c>
      <x:c r="B17" s="49" t="str">
        <x:v>Saucony Ride 19</x:v>
      </x:c>
      <x:c r="C17" s="49" t="n">
        <x:v>90</x:v>
      </x:c>
      <x:c r="D17" s="49" t="n">
        <x:v>85</x:v>
      </x:c>
      <x:c r="E17" s="49" t="n">
        <x:v>90</x:v>
      </x:c>
      <x:c r="F17" s="49" t="n">
        <x:v>70</x:v>
      </x:c>
      <x:c r="G17" s="49" t="n">
        <x:v>85</x:v>
      </x:c>
      <x:c r="H17" s="49" t="n">
        <x:v>60</x:v>
      </x:c>
      <x:c r="I17" s="49" t="n">
        <x:v>25</x:v>
      </x:c>
      <x:c r="J17" s="49" t="n">
        <x:v>85</x:v>
      </x:c>
      <x:c r="K17" s="49" t="str">
        <x:v>RECALIBRATED_V1_1</x:v>
      </x:c>
      <x:c r="L17" s="49" t="n">
        <x:f>COUNTIF('03_Product_Evidence'!$A:$A,A17)</x:f>
        <x:v>8</x:v>
      </x:c>
      <x:c r="M17" s="56" t="n">
        <x:v>46269</x:v>
      </x:c>
      <x:c r="N17" s="49" t="str">
        <x:v>GearMatch AI calibration v1.1</x:v>
      </x:c>
      <x:c r="O17" s="49" t="str">
        <x:v>데일리 역할 유지. v19의 플러시한 성격을 반영해 speed/race를 낮추고 versatility를 85로 제한.</x:v>
      </x:c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49" t="str">
        <x:v>saucony_triumph_23</x:v>
      </x:c>
      <x:c r="B18" s="49" t="str">
        <x:v>Saucony Triumph 23</x:v>
      </x:c>
      <x:c r="C18" s="49"/>
      <x:c r="D18" s="49"/>
      <x:c r="E18" s="49"/>
      <x:c r="F18" s="49"/>
      <x:c r="G18" s="49"/>
      <x:c r="H18" s="49"/>
      <x:c r="I18" s="49"/>
      <x:c r="J18" s="49"/>
      <x:c r="K18" s="49" t="str">
        <x:v>NEEDS_VERIFICATION</x:v>
      </x:c>
      <x:c r="L18" s="49" t="n">
        <x:f>COUNTIF('03_Product_Evidence'!$A:$A,A18)</x:f>
        <x:v>0</x:v>
      </x:c>
      <x:c r="M18" s="56"/>
      <x:c r="N18" s="49"/>
      <x:c r="O18" s="49" t="str">
        <x:v>Product Master normalized; P0 attribute research required.</x:v>
      </x:c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49" t="str">
        <x:v>saucony_guide_19</x:v>
      </x:c>
      <x:c r="B19" s="49" t="str">
        <x:v>Saucony Guide 19</x:v>
      </x:c>
      <x:c r="C19" s="49"/>
      <x:c r="D19" s="49"/>
      <x:c r="E19" s="49"/>
      <x:c r="F19" s="49"/>
      <x:c r="G19" s="49"/>
      <x:c r="H19" s="49"/>
      <x:c r="I19" s="49"/>
      <x:c r="J19" s="49"/>
      <x:c r="K19" s="49" t="str">
        <x:v>NEEDS_VERIFICATION</x:v>
      </x:c>
      <x:c r="L19" s="49" t="n">
        <x:f>COUNTIF('03_Product_Evidence'!$A:$A,A19)</x:f>
        <x:v>0</x:v>
      </x:c>
      <x:c r="M19" s="56"/>
      <x:c r="N19" s="49"/>
      <x:c r="O19" s="49" t="str">
        <x:v>Product Master normalized; P0 attribute research required.</x:v>
      </x:c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49" t="str">
        <x:v>saucony_endorphin_speed_5</x:v>
      </x:c>
      <x:c r="B20" s="49" t="str">
        <x:v>Saucony Endorphin Speed 5</x:v>
      </x:c>
      <x:c r="C20" s="49" t="n">
        <x:v>85</x:v>
      </x:c>
      <x:c r="D20" s="49" t="n">
        <x:v>80</x:v>
      </x:c>
      <x:c r="E20" s="49" t="n">
        <x:v>80</x:v>
      </x:c>
      <x:c r="F20" s="49" t="n">
        <x:v>95</x:v>
      </x:c>
      <x:c r="G20" s="49" t="n">
        <x:v>80</x:v>
      </x:c>
      <x:c r="H20" s="49" t="n">
        <x:v>95</x:v>
      </x:c>
      <x:c r="I20" s="49" t="n">
        <x:v>80</x:v>
      </x:c>
      <x:c r="J20" s="49" t="n">
        <x:v>90</x:v>
      </x:c>
      <x:c r="K20" s="49" t="str">
        <x:v>RECALIBRATED_V1_1</x:v>
      </x:c>
      <x:c r="L20" s="49" t="n">
        <x:f>COUNTIF('03_Product_Evidence'!$A:$A,A20)</x:f>
        <x:v>8</x:v>
      </x:c>
      <x:c r="M20" s="56" t="n">
        <x:v>46269</x:v>
      </x:c>
      <x:c r="N20" s="49" t="str">
        <x:v>GearMatch AI calibration v1.1</x:v>
      </x:c>
      <x:c r="O20" s="49" t="str">
        <x:v>매우 범용적인 퍼포먼스 트레이너지만 전용 race shoe와 구분되도록 race/versatility를 완화.</x:v>
      </x:c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49" t="str">
        <x:v>saucony_endorphin_pro_5</x:v>
      </x:c>
      <x:c r="B21" s="49" t="str">
        <x:v>Saucony Endorphin Pro 5</x:v>
      </x:c>
      <x:c r="C21" s="49"/>
      <x:c r="D21" s="49"/>
      <x:c r="E21" s="49"/>
      <x:c r="F21" s="49"/>
      <x:c r="G21" s="49"/>
      <x:c r="H21" s="49"/>
      <x:c r="I21" s="49"/>
      <x:c r="J21" s="49"/>
      <x:c r="K21" s="49" t="str">
        <x:v>NEEDS_VERIFICATION</x:v>
      </x:c>
      <x:c r="L21" s="49" t="n">
        <x:f>COUNTIF('03_Product_Evidence'!$A:$A,A21)</x:f>
        <x:v>0</x:v>
      </x:c>
      <x:c r="M21" s="56"/>
      <x:c r="N21" s="49"/>
      <x:c r="O21" s="49" t="str">
        <x:v>Product Master normalized; P0 attribute research required.</x:v>
      </x:c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49" t="str">
        <x:v>mizuno_wave_rider_29</x:v>
      </x:c>
      <x:c r="B22" s="49" t="str">
        <x:v>Mizuno Wave Rider 29</x:v>
      </x:c>
      <x:c r="C22" s="49"/>
      <x:c r="D22" s="49"/>
      <x:c r="E22" s="49"/>
      <x:c r="F22" s="49"/>
      <x:c r="G22" s="49"/>
      <x:c r="H22" s="49"/>
      <x:c r="I22" s="49"/>
      <x:c r="J22" s="49"/>
      <x:c r="K22" s="49" t="str">
        <x:v>NEEDS_VERIFICATION</x:v>
      </x:c>
      <x:c r="L22" s="49" t="n">
        <x:f>COUNTIF('03_Product_Evidence'!$A:$A,A22)</x:f>
        <x:v>0</x:v>
      </x:c>
      <x:c r="M22" s="56"/>
      <x:c r="N22" s="49"/>
      <x:c r="O22" s="49" t="str">
        <x:v>Product Master normalized; P0 attribute research required.</x:v>
      </x:c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49" t="str">
        <x:v>mizuno_wave_inspire_22</x:v>
      </x:c>
      <x:c r="B23" s="49" t="str">
        <x:v>Mizuno Wave Inspire 22</x:v>
      </x:c>
      <x:c r="C23" s="49"/>
      <x:c r="D23" s="49"/>
      <x:c r="E23" s="49"/>
      <x:c r="F23" s="49"/>
      <x:c r="G23" s="49"/>
      <x:c r="H23" s="49"/>
      <x:c r="I23" s="49"/>
      <x:c r="J23" s="49"/>
      <x:c r="K23" s="49" t="str">
        <x:v>NEEDS_VERIFICATION</x:v>
      </x:c>
      <x:c r="L23" s="49" t="n">
        <x:f>COUNTIF('03_Product_Evidence'!$A:$A,A23)</x:f>
        <x:v>0</x:v>
      </x:c>
      <x:c r="M23" s="56"/>
      <x:c r="N23" s="49"/>
      <x:c r="O23" s="49" t="str">
        <x:v>Product Master normalized; P0 attribute research required.</x:v>
      </x:c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49" t="str">
        <x:v>mizuno_wave_sky_9</x:v>
      </x:c>
      <x:c r="B24" s="49" t="str">
        <x:v>Mizuno Wave Sky 9</x:v>
      </x:c>
      <x:c r="C24" s="49"/>
      <x:c r="D24" s="49"/>
      <x:c r="E24" s="49"/>
      <x:c r="F24" s="49"/>
      <x:c r="G24" s="49"/>
      <x:c r="H24" s="49"/>
      <x:c r="I24" s="49"/>
      <x:c r="J24" s="49"/>
      <x:c r="K24" s="49" t="str">
        <x:v>NEEDS_VERIFICATION</x:v>
      </x:c>
      <x:c r="L24" s="49" t="n">
        <x:f>COUNTIF('03_Product_Evidence'!$A:$A,A24)</x:f>
        <x:v>0</x:v>
      </x:c>
      <x:c r="M24" s="56"/>
      <x:c r="N24" s="49"/>
      <x:c r="O24" s="49" t="str">
        <x:v>Product Master normalized; P0 attribute research required.</x:v>
      </x:c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49" t="str">
        <x:v>mizuno_rebellion_flash_3</x:v>
      </x:c>
      <x:c r="B25" s="49" t="str">
        <x:v>Mizuno Wave Rebellion Flash 3</x:v>
      </x:c>
      <x:c r="C25" s="49" t="n">
        <x:v>85</x:v>
      </x:c>
      <x:c r="D25" s="49" t="n">
        <x:v>75</x:v>
      </x:c>
      <x:c r="E25" s="49" t="n">
        <x:v>60</x:v>
      </x:c>
      <x:c r="F25" s="49" t="n">
        <x:v>90</x:v>
      </x:c>
      <x:c r="G25" s="49" t="n">
        <x:v>80</x:v>
      </x:c>
      <x:c r="H25" s="49" t="n">
        <x:v>90</x:v>
      </x:c>
      <x:c r="I25" s="49" t="n">
        <x:v>75</x:v>
      </x:c>
      <x:c r="J25" s="49" t="n">
        <x:v>85</x:v>
      </x:c>
      <x:c r="K25" s="49" t="str">
        <x:v>RECALIBRATED_V1_1</x:v>
      </x:c>
      <x:c r="L25" s="49" t="n">
        <x:f>COUNTIF('03_Product_Evidence'!$A:$A,A25)</x:f>
        <x:v>8</x:v>
      </x:c>
      <x:c r="M25" s="56" t="n">
        <x:v>46269</x:v>
      </x:c>
      <x:c r="N25" s="49" t="str">
        <x:v>GearMatch AI calibration v1.1</x:v>
      </x:c>
      <x:c r="O25" s="49" t="str">
        <x:v>기존 calibration 유지. Super-trainer 역할과 trade-off가 현재 정의와 일치.</x:v>
      </x:c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49" t="str">
        <x:v>mizuno_rebellion_pro_3</x:v>
      </x:c>
      <x:c r="B26" s="49" t="str">
        <x:v>Mizuno Wave Rebellion Pro 3</x:v>
      </x:c>
      <x:c r="C26" s="49"/>
      <x:c r="D26" s="49"/>
      <x:c r="E26" s="49"/>
      <x:c r="F26" s="49"/>
      <x:c r="G26" s="49"/>
      <x:c r="H26" s="49"/>
      <x:c r="I26" s="49"/>
      <x:c r="J26" s="49"/>
      <x:c r="K26" s="49" t="str">
        <x:v>NEEDS_VERIFICATION</x:v>
      </x:c>
      <x:c r="L26" s="49" t="n">
        <x:f>COUNTIF('03_Product_Evidence'!$A:$A,A26)</x:f>
        <x:v>0</x:v>
      </x:c>
      <x:c r="M26" s="56"/>
      <x:c r="N26" s="49"/>
      <x:c r="O26" s="49" t="str">
        <x:v>Product Master normalized; P0 attribute research required.</x:v>
      </x:c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49" t="str">
        <x:v>puma_velocity_nitro_4</x:v>
      </x:c>
      <x:c r="B27" s="49" t="str">
        <x:v>PUMA Velocity NITRO 4</x:v>
      </x:c>
      <x:c r="C27" s="49"/>
      <x:c r="D27" s="49"/>
      <x:c r="E27" s="49"/>
      <x:c r="F27" s="49"/>
      <x:c r="G27" s="49"/>
      <x:c r="H27" s="49"/>
      <x:c r="I27" s="49"/>
      <x:c r="J27" s="49"/>
      <x:c r="K27" s="49" t="str">
        <x:v>NEEDS_VERIFICATION</x:v>
      </x:c>
      <x:c r="L27" s="49" t="n">
        <x:f>COUNTIF('03_Product_Evidence'!$A:$A,A27)</x:f>
        <x:v>0</x:v>
      </x:c>
      <x:c r="M27" s="56"/>
      <x:c r="N27" s="49"/>
      <x:c r="O27" s="49" t="str">
        <x:v>Product Master normalized; P0 attribute research required.</x:v>
      </x:c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49" t="str">
        <x:v>puma_magmax_nitro_2</x:v>
      </x:c>
      <x:c r="B28" s="49" t="str">
        <x:v>PUMA MagMax NITRO 2</x:v>
      </x:c>
      <x:c r="C28" s="49"/>
      <x:c r="D28" s="49"/>
      <x:c r="E28" s="49"/>
      <x:c r="F28" s="49"/>
      <x:c r="G28" s="49"/>
      <x:c r="H28" s="49"/>
      <x:c r="I28" s="49"/>
      <x:c r="J28" s="49"/>
      <x:c r="K28" s="49" t="str">
        <x:v>NEEDS_VERIFICATION</x:v>
      </x:c>
      <x:c r="L28" s="49" t="n">
        <x:f>COUNTIF('03_Product_Evidence'!$A:$A,A28)</x:f>
        <x:v>0</x:v>
      </x:c>
      <x:c r="M28" s="56"/>
      <x:c r="N28" s="49"/>
      <x:c r="O28" s="49" t="str">
        <x:v>Product Master normalized; P0 attribute research required.</x:v>
      </x:c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49" t="str">
        <x:v>puma_foreverrun_nitro_2_wide</x:v>
      </x:c>
      <x:c r="B29" s="49" t="str">
        <x:v>PUMA ForeverRun NITRO 2 Wide</x:v>
      </x:c>
      <x:c r="C29" s="49"/>
      <x:c r="D29" s="49"/>
      <x:c r="E29" s="49"/>
      <x:c r="F29" s="49"/>
      <x:c r="G29" s="49"/>
      <x:c r="H29" s="49"/>
      <x:c r="I29" s="49"/>
      <x:c r="J29" s="49"/>
      <x:c r="K29" s="49" t="str">
        <x:v>NEEDS_VERIFICATION</x:v>
      </x:c>
      <x:c r="L29" s="49" t="n">
        <x:f>COUNTIF('03_Product_Evidence'!$A:$A,A29)</x:f>
        <x:v>0</x:v>
      </x:c>
      <x:c r="M29" s="56"/>
      <x:c r="N29" s="49"/>
      <x:c r="O29" s="49" t="str">
        <x:v>Product Master normalized; P0 attribute research required.</x:v>
      </x:c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49" t="str">
        <x:v>puma_deviate_nitro_4</x:v>
      </x:c>
      <x:c r="B30" s="49" t="str">
        <x:v>PUMA Deviate NITRO 4</x:v>
      </x:c>
      <x:c r="C30" s="49" t="n">
        <x:v>85</x:v>
      </x:c>
      <x:c r="D30" s="49" t="n">
        <x:v>65</x:v>
      </x:c>
      <x:c r="E30" s="49" t="n">
        <x:v>75</x:v>
      </x:c>
      <x:c r="F30" s="49" t="n">
        <x:v>85</x:v>
      </x:c>
      <x:c r="G30" s="49" t="n">
        <x:v>70</x:v>
      </x:c>
      <x:c r="H30" s="49" t="n">
        <x:v>85</x:v>
      </x:c>
      <x:c r="I30" s="49" t="n">
        <x:v>55</x:v>
      </x:c>
      <x:c r="J30" s="49" t="n">
        <x:v>85</x:v>
      </x:c>
      <x:c r="K30" s="49" t="str">
        <x:v>RECALIBRATED_V1_1</x:v>
      </x:c>
      <x:c r="L30" s="49" t="n">
        <x:f>COUNTIF('03_Product_Evidence'!$A:$A,A30)</x:f>
        <x:v>8</x:v>
      </x:c>
      <x:c r="M30" s="56" t="n">
        <x:v>46269</x:v>
      </x:c>
      <x:c r="N30" s="49" t="str">
        <x:v>GearMatch AI calibration v1.1</x:v>
      </x:c>
      <x:c r="O30" s="49" t="str">
        <x:v>퍼포먼스 훈련화 중심으로 race specialization을 낮추고 primary_use 변경과 정합성 확보.</x:v>
      </x:c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49" t="str">
        <x:v>puma_fast_r_elite_3</x:v>
      </x:c>
      <x:c r="B31" s="49" t="str">
        <x:v>PUMA Fast-R NITRO Elite 3</x:v>
      </x:c>
      <x:c r="C31" s="49"/>
      <x:c r="D31" s="49"/>
      <x:c r="E31" s="49"/>
      <x:c r="F31" s="49"/>
      <x:c r="G31" s="49"/>
      <x:c r="H31" s="49"/>
      <x:c r="I31" s="49"/>
      <x:c r="J31" s="49"/>
      <x:c r="K31" s="49" t="str">
        <x:v>NEEDS_VERIFICATION</x:v>
      </x:c>
      <x:c r="L31" s="49" t="n">
        <x:f>COUNTIF('03_Product_Evidence'!$A:$A,A31)</x:f>
        <x:v>0</x:v>
      </x:c>
      <x:c r="M31" s="56"/>
      <x:c r="N31" s="49"/>
      <x:c r="O31" s="49" t="str">
        <x:v>Product Master normalized; P0 attribute research required.</x:v>
      </x:c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49" t="str">
        <x:v>on_cloudrunner_3</x:v>
      </x:c>
      <x:c r="B32" s="49" t="str">
        <x:v>On Cloudrunner 3</x:v>
      </x:c>
      <x:c r="C32" s="49"/>
      <x:c r="D32" s="49"/>
      <x:c r="E32" s="49"/>
      <x:c r="F32" s="49"/>
      <x:c r="G32" s="49"/>
      <x:c r="H32" s="49"/>
      <x:c r="I32" s="49"/>
      <x:c r="J32" s="49"/>
      <x:c r="K32" s="49" t="str">
        <x:v>NEEDS_VERIFICATION</x:v>
      </x:c>
      <x:c r="L32" s="49" t="n">
        <x:f>COUNTIF('03_Product_Evidence'!$A:$A,A32)</x:f>
        <x:v>0</x:v>
      </x:c>
      <x:c r="M32" s="56"/>
      <x:c r="N32" s="49"/>
      <x:c r="O32" s="49" t="str">
        <x:v>Product Master normalized; P0 attribute research required.</x:v>
      </x:c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49" t="str">
        <x:v>on_cloudsurfer_2</x:v>
      </x:c>
      <x:c r="B33" s="49" t="str">
        <x:v>On Cloudsurfer 2</x:v>
      </x:c>
      <x:c r="C33" s="49"/>
      <x:c r="D33" s="49"/>
      <x:c r="E33" s="49"/>
      <x:c r="F33" s="49"/>
      <x:c r="G33" s="49"/>
      <x:c r="H33" s="49"/>
      <x:c r="I33" s="49"/>
      <x:c r="J33" s="49"/>
      <x:c r="K33" s="49" t="str">
        <x:v>NEEDS_VERIFICATION</x:v>
      </x:c>
      <x:c r="L33" s="49" t="n">
        <x:f>COUNTIF('03_Product_Evidence'!$A:$A,A33)</x:f>
        <x:v>0</x:v>
      </x:c>
      <x:c r="M33" s="56"/>
      <x:c r="N33" s="49"/>
      <x:c r="O33" s="49" t="str">
        <x:v>Product Master normalized; P0 attribute research required.</x:v>
      </x:c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49" t="str">
        <x:v>on_cloudmonster_3</x:v>
      </x:c>
      <x:c r="B34" s="49" t="str">
        <x:v>On Cloudmonster 3</x:v>
      </x:c>
      <x:c r="C34" s="49"/>
      <x:c r="D34" s="49"/>
      <x:c r="E34" s="49"/>
      <x:c r="F34" s="49"/>
      <x:c r="G34" s="49"/>
      <x:c r="H34" s="49"/>
      <x:c r="I34" s="49"/>
      <x:c r="J34" s="49"/>
      <x:c r="K34" s="49" t="str">
        <x:v>NEEDS_VERIFICATION</x:v>
      </x:c>
      <x:c r="L34" s="49" t="n">
        <x:f>COUNTIF('03_Product_Evidence'!$A:$A,A34)</x:f>
        <x:v>0</x:v>
      </x:c>
      <x:c r="M34" s="56"/>
      <x:c r="N34" s="49"/>
      <x:c r="O34" s="49" t="str">
        <x:v>Product Master normalized; P0 attribute research required.</x:v>
      </x:c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49" t="str">
        <x:v>on_cloudflow_5</x:v>
      </x:c>
      <x:c r="B35" s="49" t="str">
        <x:v>On Cloudflow 5</x:v>
      </x:c>
      <x:c r="C35" s="49"/>
      <x:c r="D35" s="49"/>
      <x:c r="E35" s="49"/>
      <x:c r="F35" s="49"/>
      <x:c r="G35" s="49"/>
      <x:c r="H35" s="49"/>
      <x:c r="I35" s="49"/>
      <x:c r="J35" s="49"/>
      <x:c r="K35" s="49" t="str">
        <x:v>NEEDS_VERIFICATION</x:v>
      </x:c>
      <x:c r="L35" s="49" t="n">
        <x:f>COUNTIF('03_Product_Evidence'!$A:$A,A35)</x:f>
        <x:v>0</x:v>
      </x:c>
      <x:c r="M35" s="56"/>
      <x:c r="N35" s="49"/>
      <x:c r="O35" s="49" t="str">
        <x:v>Product Master normalized; P0 attribute research required.</x:v>
      </x:c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49" t="str">
        <x:v>on_cloudboom_strike</x:v>
      </x:c>
      <x:c r="B36" s="49" t="str">
        <x:v>On Cloudboom Strike</x:v>
      </x:c>
      <x:c r="C36" s="49"/>
      <x:c r="D36" s="49"/>
      <x:c r="E36" s="49"/>
      <x:c r="F36" s="49"/>
      <x:c r="G36" s="49"/>
      <x:c r="H36" s="49"/>
      <x:c r="I36" s="49"/>
      <x:c r="J36" s="49"/>
      <x:c r="K36" s="49" t="str">
        <x:v>NEEDS_VERIFICATION</x:v>
      </x:c>
      <x:c r="L36" s="49" t="n">
        <x:f>COUNTIF('03_Product_Evidence'!$A:$A,A36)</x:f>
        <x:v>0</x:v>
      </x:c>
      <x:c r="M36" s="56"/>
      <x:c r="N36" s="49"/>
      <x:c r="O36" s="49" t="str">
        <x:v>Product Master normalized; P0 attribute research required.</x:v>
      </x:c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  <x:c r="L37" s="49"/>
      <x:c r="M37" s="56"/>
      <x:c r="N37" s="49"/>
      <x:c r="O37" s="49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  <x:c r="L38" s="49"/>
      <x:c r="M38" s="56"/>
      <x:c r="N38" s="49"/>
      <x:c r="O38" s="49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56"/>
      <x:c r="N39" s="49"/>
      <x:c r="O39" s="49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  <x:c r="L40" s="49"/>
      <x:c r="M40" s="56"/>
      <x:c r="N40" s="49"/>
      <x:c r="O40" s="49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56"/>
      <x:c r="N41" s="49"/>
      <x:c r="O41" s="49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  <x:c r="L42" s="49"/>
      <x:c r="M42" s="56"/>
      <x:c r="N42" s="49"/>
      <x:c r="O42" s="49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56"/>
      <x:c r="N43" s="49"/>
      <x:c r="O43" s="49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56"/>
      <x:c r="N44" s="49"/>
      <x:c r="O44" s="49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56"/>
      <x:c r="N45" s="49"/>
      <x:c r="O45" s="49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56"/>
      <x:c r="N46" s="49"/>
      <x:c r="O46" s="49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  <x:c r="L47" s="49"/>
      <x:c r="M47" s="56"/>
      <x:c r="N47" s="49"/>
      <x:c r="O47" s="49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  <x:c r="L48" s="49"/>
      <x:c r="M48" s="56"/>
      <x:c r="N48" s="49"/>
      <x:c r="O48" s="49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56"/>
      <x:c r="N49" s="49"/>
      <x:c r="O49" s="49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  <x:c r="L50" s="49"/>
      <x:c r="M50" s="56"/>
      <x:c r="N50" s="49"/>
      <x:c r="O50" s="49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56"/>
      <x:c r="N51" s="49"/>
      <x:c r="O51" s="49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49"/>
      <x:c r="B52" s="49"/>
      <x:c r="C52" s="49"/>
      <x:c r="D52" s="49"/>
      <x:c r="E52" s="49"/>
      <x:c r="F52" s="49"/>
      <x:c r="G52" s="49"/>
      <x:c r="H52" s="49"/>
      <x:c r="I52" s="49"/>
      <x:c r="J52" s="49"/>
      <x:c r="K52" s="49"/>
      <x:c r="L52" s="49"/>
      <x:c r="M52" s="56"/>
      <x:c r="N52" s="49"/>
      <x:c r="O52" s="49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49"/>
      <x:c r="B53" s="49"/>
      <x:c r="C53" s="49"/>
      <x:c r="D53" s="49"/>
      <x:c r="E53" s="49"/>
      <x:c r="F53" s="49"/>
      <x:c r="G53" s="49"/>
      <x:c r="H53" s="49"/>
      <x:c r="I53" s="49"/>
      <x:c r="J53" s="49"/>
      <x:c r="K53" s="49"/>
      <x:c r="L53" s="49"/>
      <x:c r="M53" s="56"/>
      <x:c r="N53" s="49"/>
      <x:c r="O53" s="49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49"/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  <x:c r="L54" s="49"/>
      <x:c r="M54" s="56"/>
      <x:c r="N54" s="49"/>
      <x:c r="O54" s="49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49"/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  <x:c r="L55" s="49"/>
      <x:c r="M55" s="56"/>
      <x:c r="N55" s="49"/>
      <x:c r="O55" s="49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49"/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56"/>
      <x:c r="N56" s="49"/>
      <x:c r="O56" s="49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49"/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56"/>
      <x:c r="N57" s="49"/>
      <x:c r="O57" s="49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49"/>
      <x:c r="B58" s="49"/>
      <x:c r="C58" s="49"/>
      <x:c r="D58" s="49"/>
      <x:c r="E58" s="49"/>
      <x:c r="F58" s="49"/>
      <x:c r="G58" s="49"/>
      <x:c r="H58" s="49"/>
      <x:c r="I58" s="49"/>
      <x:c r="J58" s="49"/>
      <x:c r="K58" s="49"/>
      <x:c r="L58" s="49"/>
      <x:c r="M58" s="56"/>
      <x:c r="N58" s="49"/>
      <x:c r="O58" s="49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49"/>
      <x:c r="B59" s="49"/>
      <x:c r="C59" s="49"/>
      <x:c r="D59" s="49"/>
      <x:c r="E59" s="49"/>
      <x:c r="F59" s="49"/>
      <x:c r="G59" s="49"/>
      <x:c r="H59" s="49"/>
      <x:c r="I59" s="49"/>
      <x:c r="J59" s="49"/>
      <x:c r="K59" s="49"/>
      <x:c r="L59" s="49"/>
      <x:c r="M59" s="56"/>
      <x:c r="N59" s="49"/>
      <x:c r="O59" s="49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49"/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  <x:c r="L60" s="49"/>
      <x:c r="M60" s="56"/>
      <x:c r="N60" s="49"/>
      <x:c r="O60" s="49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49"/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56"/>
      <x:c r="N61" s="49"/>
      <x:c r="O61" s="49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49"/>
      <x:c r="B62" s="49"/>
      <x:c r="C62" s="49"/>
      <x:c r="D62" s="49"/>
      <x:c r="E62" s="49"/>
      <x:c r="F62" s="49"/>
      <x:c r="G62" s="49"/>
      <x:c r="H62" s="49"/>
      <x:c r="I62" s="49"/>
      <x:c r="J62" s="49"/>
      <x:c r="K62" s="49"/>
      <x:c r="L62" s="49"/>
      <x:c r="M62" s="56"/>
      <x:c r="N62" s="49"/>
      <x:c r="O62" s="49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49"/>
      <x:c r="B63" s="49"/>
      <x:c r="C63" s="49"/>
      <x:c r="D63" s="49"/>
      <x:c r="E63" s="49"/>
      <x:c r="F63" s="49"/>
      <x:c r="G63" s="49"/>
      <x:c r="H63" s="49"/>
      <x:c r="I63" s="49"/>
      <x:c r="J63" s="49"/>
      <x:c r="K63" s="49"/>
      <x:c r="L63" s="49"/>
      <x:c r="M63" s="56"/>
      <x:c r="N63" s="49"/>
      <x:c r="O63" s="49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49"/>
      <x:c r="B64" s="49"/>
      <x:c r="C64" s="49"/>
      <x:c r="D64" s="49"/>
      <x:c r="E64" s="49"/>
      <x:c r="F64" s="49"/>
      <x:c r="G64" s="49"/>
      <x:c r="H64" s="49"/>
      <x:c r="I64" s="49"/>
      <x:c r="J64" s="49"/>
      <x:c r="K64" s="49"/>
      <x:c r="L64" s="49"/>
      <x:c r="M64" s="56"/>
      <x:c r="N64" s="49"/>
      <x:c r="O64" s="49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49"/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  <x:c r="L65" s="49"/>
      <x:c r="M65" s="56"/>
      <x:c r="N65" s="49"/>
      <x:c r="O65" s="49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49"/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  <x:c r="L66" s="49"/>
      <x:c r="M66" s="56"/>
      <x:c r="N66" s="49"/>
      <x:c r="O66" s="49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49"/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  <x:c r="M67" s="56"/>
      <x:c r="N67" s="49"/>
      <x:c r="O67" s="49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49"/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  <x:c r="L68" s="49"/>
      <x:c r="M68" s="56"/>
      <x:c r="N68" s="49"/>
      <x:c r="O68" s="49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49"/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  <x:c r="L69" s="49"/>
      <x:c r="M69" s="56"/>
      <x:c r="N69" s="49"/>
      <x:c r="O69" s="49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49"/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  <x:c r="L70" s="49"/>
      <x:c r="M70" s="56"/>
      <x:c r="N70" s="49"/>
      <x:c r="O70" s="49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49"/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56"/>
      <x:c r="N71" s="49"/>
      <x:c r="O71" s="49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49"/>
      <x:c r="B72" s="49"/>
      <x:c r="C72" s="49"/>
      <x:c r="D72" s="49"/>
      <x:c r="E72" s="49"/>
      <x:c r="F72" s="49"/>
      <x:c r="G72" s="49"/>
      <x:c r="H72" s="49"/>
      <x:c r="I72" s="49"/>
      <x:c r="J72" s="49"/>
      <x:c r="K72" s="49"/>
      <x:c r="L72" s="49"/>
      <x:c r="M72" s="56"/>
      <x:c r="N72" s="49"/>
      <x:c r="O72" s="49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49"/>
      <x:c r="B73" s="49"/>
      <x:c r="C73" s="49"/>
      <x:c r="D73" s="49"/>
      <x:c r="E73" s="49"/>
      <x:c r="F73" s="49"/>
      <x:c r="G73" s="49"/>
      <x:c r="H73" s="49"/>
      <x:c r="I73" s="49"/>
      <x:c r="J73" s="49"/>
      <x:c r="K73" s="49"/>
      <x:c r="L73" s="49"/>
      <x:c r="M73" s="56"/>
      <x:c r="N73" s="49"/>
      <x:c r="O73" s="49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49"/>
      <x:c r="B74" s="49"/>
      <x:c r="C74" s="49"/>
      <x:c r="D74" s="49"/>
      <x:c r="E74" s="49"/>
      <x:c r="F74" s="49"/>
      <x:c r="G74" s="49"/>
      <x:c r="H74" s="49"/>
      <x:c r="I74" s="49"/>
      <x:c r="J74" s="49"/>
      <x:c r="K74" s="49"/>
      <x:c r="L74" s="49"/>
      <x:c r="M74" s="56"/>
      <x:c r="N74" s="49"/>
      <x:c r="O74" s="49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49"/>
      <x:c r="B75" s="49"/>
      <x:c r="C75" s="49"/>
      <x:c r="D75" s="49"/>
      <x:c r="E75" s="49"/>
      <x:c r="F75" s="49"/>
      <x:c r="G75" s="49"/>
      <x:c r="H75" s="49"/>
      <x:c r="I75" s="49"/>
      <x:c r="J75" s="49"/>
      <x:c r="K75" s="49"/>
      <x:c r="L75" s="49"/>
      <x:c r="M75" s="56"/>
      <x:c r="N75" s="49"/>
      <x:c r="O75" s="49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49"/>
      <x:c r="B76" s="49"/>
      <x:c r="C76" s="49"/>
      <x:c r="D76" s="49"/>
      <x:c r="E76" s="49"/>
      <x:c r="F76" s="49"/>
      <x:c r="G76" s="49"/>
      <x:c r="H76" s="49"/>
      <x:c r="I76" s="49"/>
      <x:c r="J76" s="49"/>
      <x:c r="K76" s="49"/>
      <x:c r="L76" s="49"/>
      <x:c r="M76" s="56"/>
      <x:c r="N76" s="49"/>
      <x:c r="O76" s="49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49"/>
      <x:c r="B77" s="49"/>
      <x:c r="C77" s="49"/>
      <x:c r="D77" s="49"/>
      <x:c r="E77" s="49"/>
      <x:c r="F77" s="49"/>
      <x:c r="G77" s="49"/>
      <x:c r="H77" s="49"/>
      <x:c r="I77" s="49"/>
      <x:c r="J77" s="49"/>
      <x:c r="K77" s="49"/>
      <x:c r="L77" s="49"/>
      <x:c r="M77" s="56"/>
      <x:c r="N77" s="49"/>
      <x:c r="O77" s="49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49"/>
      <x:c r="B78" s="49"/>
      <x:c r="C78" s="49"/>
      <x:c r="D78" s="49"/>
      <x:c r="E78" s="49"/>
      <x:c r="F78" s="49"/>
      <x:c r="G78" s="49"/>
      <x:c r="H78" s="49"/>
      <x:c r="I78" s="49"/>
      <x:c r="J78" s="49"/>
      <x:c r="K78" s="49"/>
      <x:c r="L78" s="49"/>
      <x:c r="M78" s="56"/>
      <x:c r="N78" s="49"/>
      <x:c r="O78" s="49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49"/>
      <x:c r="B79" s="49"/>
      <x:c r="C79" s="49"/>
      <x:c r="D79" s="49"/>
      <x:c r="E79" s="49"/>
      <x:c r="F79" s="49"/>
      <x:c r="G79" s="49"/>
      <x:c r="H79" s="49"/>
      <x:c r="I79" s="49"/>
      <x:c r="J79" s="49"/>
      <x:c r="K79" s="49"/>
      <x:c r="L79" s="49"/>
      <x:c r="M79" s="56"/>
      <x:c r="N79" s="49"/>
      <x:c r="O79" s="49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49"/>
      <x:c r="B80" s="49"/>
      <x:c r="C80" s="49"/>
      <x:c r="D80" s="49"/>
      <x:c r="E80" s="49"/>
      <x:c r="F80" s="49"/>
      <x:c r="G80" s="49"/>
      <x:c r="H80" s="49"/>
      <x:c r="I80" s="49"/>
      <x:c r="J80" s="49"/>
      <x:c r="K80" s="49"/>
      <x:c r="L80" s="49"/>
      <x:c r="M80" s="56"/>
      <x:c r="N80" s="49"/>
      <x:c r="O80" s="49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49"/>
      <x:c r="B81" s="49"/>
      <x:c r="C81" s="49"/>
      <x:c r="D81" s="49"/>
      <x:c r="E81" s="49"/>
      <x:c r="F81" s="49"/>
      <x:c r="G81" s="49"/>
      <x:c r="H81" s="49"/>
      <x:c r="I81" s="49"/>
      <x:c r="J81" s="49"/>
      <x:c r="K81" s="49"/>
      <x:c r="L81" s="49"/>
      <x:c r="M81" s="56"/>
      <x:c r="N81" s="49"/>
      <x:c r="O81" s="49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49"/>
      <x:c r="B82" s="49"/>
      <x:c r="C82" s="49"/>
      <x:c r="D82" s="49"/>
      <x:c r="E82" s="49"/>
      <x:c r="F82" s="49"/>
      <x:c r="G82" s="49"/>
      <x:c r="H82" s="49"/>
      <x:c r="I82" s="49"/>
      <x:c r="J82" s="49"/>
      <x:c r="K82" s="49"/>
      <x:c r="L82" s="49"/>
      <x:c r="M82" s="56"/>
      <x:c r="N82" s="49"/>
      <x:c r="O82" s="49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49"/>
      <x:c r="B83" s="49"/>
      <x:c r="C83" s="49"/>
      <x:c r="D83" s="49"/>
      <x:c r="E83" s="49"/>
      <x:c r="F83" s="49"/>
      <x:c r="G83" s="49"/>
      <x:c r="H83" s="49"/>
      <x:c r="I83" s="49"/>
      <x:c r="J83" s="49"/>
      <x:c r="K83" s="49"/>
      <x:c r="L83" s="49"/>
      <x:c r="M83" s="56"/>
      <x:c r="N83" s="49"/>
      <x:c r="O83" s="49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49"/>
      <x:c r="B84" s="49"/>
      <x:c r="C84" s="49"/>
      <x:c r="D84" s="49"/>
      <x:c r="E84" s="49"/>
      <x:c r="F84" s="49"/>
      <x:c r="G84" s="49"/>
      <x:c r="H84" s="49"/>
      <x:c r="I84" s="49"/>
      <x:c r="J84" s="49"/>
      <x:c r="K84" s="49"/>
      <x:c r="L84" s="49"/>
      <x:c r="M84" s="56"/>
      <x:c r="N84" s="49"/>
      <x:c r="O84" s="49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49"/>
      <x:c r="B85" s="49"/>
      <x:c r="C85" s="49"/>
      <x:c r="D85" s="49"/>
      <x:c r="E85" s="49"/>
      <x:c r="F85" s="49"/>
      <x:c r="G85" s="49"/>
      <x:c r="H85" s="49"/>
      <x:c r="I85" s="49"/>
      <x:c r="J85" s="49"/>
      <x:c r="K85" s="49"/>
      <x:c r="L85" s="49"/>
      <x:c r="M85" s="56"/>
      <x:c r="N85" s="49"/>
      <x:c r="O85" s="49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49"/>
      <x:c r="B86" s="49"/>
      <x:c r="C86" s="49"/>
      <x:c r="D86" s="49"/>
      <x:c r="E86" s="49"/>
      <x:c r="F86" s="49"/>
      <x:c r="G86" s="49"/>
      <x:c r="H86" s="49"/>
      <x:c r="I86" s="49"/>
      <x:c r="J86" s="49"/>
      <x:c r="K86" s="49"/>
      <x:c r="L86" s="49"/>
      <x:c r="M86" s="56"/>
      <x:c r="N86" s="49"/>
      <x:c r="O86" s="49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49"/>
      <x:c r="B87" s="49"/>
      <x:c r="C87" s="49"/>
      <x:c r="D87" s="49"/>
      <x:c r="E87" s="49"/>
      <x:c r="F87" s="49"/>
      <x:c r="G87" s="49"/>
      <x:c r="H87" s="49"/>
      <x:c r="I87" s="49"/>
      <x:c r="J87" s="49"/>
      <x:c r="K87" s="49"/>
      <x:c r="L87" s="49"/>
      <x:c r="M87" s="56"/>
      <x:c r="N87" s="49"/>
      <x:c r="O87" s="49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49"/>
      <x:c r="B88" s="49"/>
      <x:c r="C88" s="49"/>
      <x:c r="D88" s="49"/>
      <x:c r="E88" s="49"/>
      <x:c r="F88" s="49"/>
      <x:c r="G88" s="49"/>
      <x:c r="H88" s="49"/>
      <x:c r="I88" s="49"/>
      <x:c r="J88" s="49"/>
      <x:c r="K88" s="49"/>
      <x:c r="L88" s="49"/>
      <x:c r="M88" s="56"/>
      <x:c r="N88" s="49"/>
      <x:c r="O88" s="49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49"/>
      <x:c r="B89" s="49"/>
      <x:c r="C89" s="49"/>
      <x:c r="D89" s="49"/>
      <x:c r="E89" s="49"/>
      <x:c r="F89" s="49"/>
      <x:c r="G89" s="49"/>
      <x:c r="H89" s="49"/>
      <x:c r="I89" s="49"/>
      <x:c r="J89" s="49"/>
      <x:c r="K89" s="49"/>
      <x:c r="L89" s="49"/>
      <x:c r="M89" s="56"/>
      <x:c r="N89" s="49"/>
      <x:c r="O89" s="49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49"/>
      <x:c r="B90" s="49"/>
      <x:c r="C90" s="49"/>
      <x:c r="D90" s="49"/>
      <x:c r="E90" s="49"/>
      <x:c r="F90" s="49"/>
      <x:c r="G90" s="49"/>
      <x:c r="H90" s="49"/>
      <x:c r="I90" s="49"/>
      <x:c r="J90" s="49"/>
      <x:c r="K90" s="49"/>
      <x:c r="L90" s="49"/>
      <x:c r="M90" s="56"/>
      <x:c r="N90" s="49"/>
      <x:c r="O90" s="49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49"/>
      <x:c r="B91" s="49"/>
      <x:c r="C91" s="49"/>
      <x:c r="D91" s="49"/>
      <x:c r="E91" s="49"/>
      <x:c r="F91" s="49"/>
      <x:c r="G91" s="49"/>
      <x:c r="H91" s="49"/>
      <x:c r="I91" s="49"/>
      <x:c r="J91" s="49"/>
      <x:c r="K91" s="49"/>
      <x:c r="L91" s="49"/>
      <x:c r="M91" s="56"/>
      <x:c r="N91" s="49"/>
      <x:c r="O91" s="49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49"/>
      <x:c r="B92" s="49"/>
      <x:c r="C92" s="49"/>
      <x:c r="D92" s="49"/>
      <x:c r="E92" s="49"/>
      <x:c r="F92" s="49"/>
      <x:c r="G92" s="49"/>
      <x:c r="H92" s="49"/>
      <x:c r="I92" s="49"/>
      <x:c r="J92" s="49"/>
      <x:c r="K92" s="49"/>
      <x:c r="L92" s="49"/>
      <x:c r="M92" s="56"/>
      <x:c r="N92" s="49"/>
      <x:c r="O92" s="49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49"/>
      <x:c r="B93" s="49"/>
      <x:c r="C93" s="49"/>
      <x:c r="D93" s="49"/>
      <x:c r="E93" s="49"/>
      <x:c r="F93" s="49"/>
      <x:c r="G93" s="49"/>
      <x:c r="H93" s="49"/>
      <x:c r="I93" s="49"/>
      <x:c r="J93" s="49"/>
      <x:c r="K93" s="49"/>
      <x:c r="L93" s="49"/>
      <x:c r="M93" s="56"/>
      <x:c r="N93" s="49"/>
      <x:c r="O93" s="49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49"/>
      <x:c r="B94" s="49"/>
      <x:c r="C94" s="49"/>
      <x:c r="D94" s="49"/>
      <x:c r="E94" s="49"/>
      <x:c r="F94" s="49"/>
      <x:c r="G94" s="49"/>
      <x:c r="H94" s="49"/>
      <x:c r="I94" s="49"/>
      <x:c r="J94" s="49"/>
      <x:c r="K94" s="49"/>
      <x:c r="L94" s="49"/>
      <x:c r="M94" s="56"/>
      <x:c r="N94" s="49"/>
      <x:c r="O94" s="49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49"/>
      <x:c r="B95" s="49"/>
      <x:c r="C95" s="49"/>
      <x:c r="D95" s="49"/>
      <x:c r="E95" s="49"/>
      <x:c r="F95" s="49"/>
      <x:c r="G95" s="49"/>
      <x:c r="H95" s="49"/>
      <x:c r="I95" s="49"/>
      <x:c r="J95" s="49"/>
      <x:c r="K95" s="49"/>
      <x:c r="L95" s="49"/>
      <x:c r="M95" s="56"/>
      <x:c r="N95" s="49"/>
      <x:c r="O95" s="49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49"/>
      <x:c r="B96" s="49"/>
      <x:c r="C96" s="49"/>
      <x:c r="D96" s="49"/>
      <x:c r="E96" s="49"/>
      <x:c r="F96" s="49"/>
      <x:c r="G96" s="49"/>
      <x:c r="H96" s="49"/>
      <x:c r="I96" s="49"/>
      <x:c r="J96" s="49"/>
      <x:c r="K96" s="49"/>
      <x:c r="L96" s="49"/>
      <x:c r="M96" s="56"/>
      <x:c r="N96" s="49"/>
      <x:c r="O96" s="49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49"/>
      <x:c r="B97" s="49"/>
      <x:c r="C97" s="49"/>
      <x:c r="D97" s="49"/>
      <x:c r="E97" s="49"/>
      <x:c r="F97" s="49"/>
      <x:c r="G97" s="49"/>
      <x:c r="H97" s="49"/>
      <x:c r="I97" s="49"/>
      <x:c r="J97" s="49"/>
      <x:c r="K97" s="49"/>
      <x:c r="L97" s="49"/>
      <x:c r="M97" s="56"/>
      <x:c r="N97" s="49"/>
      <x:c r="O97" s="49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49"/>
      <x:c r="B98" s="49"/>
      <x:c r="C98" s="49"/>
      <x:c r="D98" s="49"/>
      <x:c r="E98" s="49"/>
      <x:c r="F98" s="49"/>
      <x:c r="G98" s="49"/>
      <x:c r="H98" s="49"/>
      <x:c r="I98" s="49"/>
      <x:c r="J98" s="49"/>
      <x:c r="K98" s="49"/>
      <x:c r="L98" s="49"/>
      <x:c r="M98" s="56"/>
      <x:c r="N98" s="49"/>
      <x:c r="O98" s="49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49"/>
      <x:c r="B99" s="49"/>
      <x:c r="C99" s="49"/>
      <x:c r="D99" s="49"/>
      <x:c r="E99" s="49"/>
      <x:c r="F99" s="49"/>
      <x:c r="G99" s="49"/>
      <x:c r="H99" s="49"/>
      <x:c r="I99" s="49"/>
      <x:c r="J99" s="49"/>
      <x:c r="K99" s="49"/>
      <x:c r="L99" s="49"/>
      <x:c r="M99" s="56"/>
      <x:c r="N99" s="49"/>
      <x:c r="O99" s="49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49"/>
      <x:c r="B100" s="49"/>
      <x:c r="C100" s="49"/>
      <x:c r="D100" s="49"/>
      <x:c r="E100" s="49"/>
      <x:c r="F100" s="49"/>
      <x:c r="G100" s="49"/>
      <x:c r="H100" s="49"/>
      <x:c r="I100" s="49"/>
      <x:c r="J100" s="49"/>
      <x:c r="K100" s="49"/>
      <x:c r="L100" s="49"/>
      <x:c r="M100" s="56"/>
      <x:c r="N100" s="49"/>
      <x:c r="O100" s="49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48"/>
      <x:c r="B101" s="48"/>
      <x:c r="C101" s="48"/>
      <x:c r="D101" s="48"/>
      <x:c r="E101" s="48"/>
      <x:c r="F101" s="48"/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48"/>
      <x:c r="B102" s="48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48"/>
      <x:c r="B103" s="48"/>
      <x:c r="C103" s="48"/>
      <x:c r="D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48"/>
      <x:c r="B104" s="48"/>
      <x:c r="C104" s="48"/>
      <x:c r="D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48"/>
      <x:c r="B105" s="48"/>
      <x:c r="C105" s="48"/>
      <x:c r="D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48"/>
      <x:c r="B106" s="48"/>
      <x:c r="C106" s="48"/>
      <x:c r="D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48"/>
      <x:c r="B107" s="48"/>
      <x:c r="C107" s="48"/>
      <x:c r="D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48"/>
      <x:c r="B108" s="48"/>
      <x:c r="C108" s="48"/>
      <x:c r="D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48"/>
      <x:c r="B109" s="48"/>
      <x:c r="C109" s="48"/>
      <x:c r="D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48"/>
      <x:c r="B110" s="48"/>
      <x:c r="C110" s="48"/>
      <x:c r="D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48"/>
      <x:c r="B111" s="48"/>
      <x:c r="C111" s="48"/>
      <x:c r="D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48"/>
      <x:c r="B112" s="48"/>
      <x:c r="C112" s="48"/>
      <x:c r="D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48"/>
      <x:c r="B113" s="48"/>
      <x:c r="C113" s="48"/>
      <x:c r="D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48"/>
      <x:c r="B114" s="48"/>
      <x:c r="C114" s="48"/>
      <x:c r="D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48"/>
      <x:c r="B115" s="48"/>
      <x:c r="C115" s="48"/>
      <x:c r="D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48"/>
      <x:c r="B116" s="48"/>
      <x:c r="C116" s="48"/>
      <x:c r="D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48"/>
      <x:c r="B117" s="48"/>
      <x:c r="C117" s="48"/>
      <x:c r="D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48"/>
      <x:c r="B118" s="48"/>
      <x:c r="C118" s="48"/>
      <x:c r="D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48"/>
      <x:c r="B119" s="48"/>
      <x:c r="C119" s="48"/>
      <x:c r="D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48"/>
      <x:c r="B120" s="48"/>
      <x:c r="C120" s="48"/>
      <x:c r="D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  <x:row r="121">
      <x:c r="A121" s="48"/>
      <x:c r="B121" s="48"/>
      <x:c r="C121" s="48"/>
      <x:c r="D121" s="48"/>
      <x:c r="E121" s="48"/>
      <x:c r="F121" s="48"/>
      <x:c r="G121" s="48"/>
      <x:c r="H121" s="48"/>
      <x:c r="I121" s="48"/>
      <x:c r="J121" s="48"/>
      <x:c r="K121" s="48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8"/>
      <x:c r="Z121" s="48"/>
    </x:row>
    <x:row r="122">
      <x:c r="A122" s="48"/>
      <x:c r="B122" s="48"/>
      <x:c r="C122" s="48"/>
      <x:c r="D122" s="48"/>
      <x:c r="E122" s="48"/>
      <x:c r="F122" s="48"/>
      <x:c r="G122" s="48"/>
      <x:c r="H122" s="48"/>
      <x:c r="I122" s="48"/>
      <x:c r="J122" s="48"/>
      <x:c r="K122" s="48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8"/>
      <x:c r="Z122" s="48"/>
    </x:row>
    <x:row r="123">
      <x:c r="A123" s="48"/>
      <x:c r="B123" s="48"/>
      <x:c r="C123" s="48"/>
      <x:c r="D123" s="48"/>
      <x:c r="E123" s="48"/>
      <x:c r="F123" s="48"/>
      <x:c r="G123" s="48"/>
      <x:c r="H123" s="48"/>
      <x:c r="I123" s="48"/>
      <x:c r="J123" s="48"/>
      <x:c r="K123" s="48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8"/>
      <x:c r="Z123" s="48"/>
    </x:row>
    <x:row r="124">
      <x:c r="A124" s="48"/>
      <x:c r="B124" s="48"/>
      <x:c r="C124" s="48"/>
      <x:c r="D124" s="48"/>
      <x:c r="E124" s="48"/>
      <x:c r="F124" s="48"/>
      <x:c r="G124" s="48"/>
      <x:c r="H124" s="48"/>
      <x:c r="I124" s="48"/>
      <x:c r="J124" s="48"/>
      <x:c r="K124" s="48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8"/>
      <x:c r="Z124" s="48"/>
    </x:row>
    <x:row r="125">
      <x:c r="A125" s="48"/>
      <x:c r="B125" s="48"/>
      <x:c r="C125" s="48"/>
      <x:c r="D125" s="48"/>
      <x:c r="E125" s="48"/>
      <x:c r="F125" s="48"/>
      <x:c r="G125" s="48"/>
      <x:c r="H125" s="48"/>
      <x:c r="I125" s="48"/>
      <x:c r="J125" s="48"/>
      <x:c r="K125" s="48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8"/>
      <x:c r="X125" s="48"/>
      <x:c r="Y125" s="48"/>
      <x:c r="Z125" s="48"/>
    </x:row>
    <x:row r="126">
      <x:c r="A126" s="48"/>
      <x:c r="B126" s="48"/>
      <x:c r="C126" s="48"/>
      <x:c r="D126" s="48"/>
      <x:c r="E126" s="48"/>
      <x:c r="F126" s="48"/>
      <x:c r="G126" s="48"/>
      <x:c r="H126" s="48"/>
      <x:c r="I126" s="48"/>
      <x:c r="J126" s="48"/>
      <x:c r="K126" s="48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8"/>
      <x:c r="X126" s="48"/>
      <x:c r="Y126" s="48"/>
      <x:c r="Z126" s="48"/>
    </x:row>
    <x:row r="127">
      <x:c r="A127" s="48"/>
      <x:c r="B127" s="48"/>
      <x:c r="C127" s="48"/>
      <x:c r="D127" s="48"/>
      <x:c r="E127" s="48"/>
      <x:c r="F127" s="48"/>
      <x:c r="G127" s="48"/>
      <x:c r="H127" s="48"/>
      <x:c r="I127" s="48"/>
      <x:c r="J127" s="48"/>
      <x:c r="K127" s="48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8"/>
      <x:c r="X127" s="48"/>
      <x:c r="Y127" s="48"/>
      <x:c r="Z127" s="48"/>
    </x:row>
    <x:row r="128">
      <x:c r="A128" s="48"/>
      <x:c r="B128" s="48"/>
      <x:c r="C128" s="48"/>
      <x:c r="D128" s="48"/>
      <x:c r="E128" s="48"/>
      <x:c r="F128" s="48"/>
      <x:c r="G128" s="48"/>
      <x:c r="H128" s="48"/>
      <x:c r="I128" s="48"/>
      <x:c r="J128" s="48"/>
      <x:c r="K128" s="48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8"/>
      <x:c r="X128" s="48"/>
      <x:c r="Y128" s="48"/>
      <x:c r="Z128" s="48"/>
    </x:row>
    <x:row r="129">
      <x:c r="A129" s="48"/>
      <x:c r="B129" s="48"/>
      <x:c r="C129" s="48"/>
      <x:c r="D129" s="48"/>
      <x:c r="E129" s="48"/>
      <x:c r="F129" s="48"/>
      <x:c r="G129" s="48"/>
      <x:c r="H129" s="48"/>
      <x:c r="I129" s="48"/>
      <x:c r="J129" s="48"/>
      <x:c r="K129" s="48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8"/>
      <x:c r="X129" s="48"/>
      <x:c r="Y129" s="48"/>
      <x:c r="Z129" s="48"/>
    </x:row>
    <x:row r="130">
      <x:c r="A130" s="48"/>
      <x:c r="B130" s="48"/>
      <x:c r="C130" s="48"/>
      <x:c r="D130" s="48"/>
      <x:c r="E130" s="48"/>
      <x:c r="F130" s="48"/>
      <x:c r="G130" s="48"/>
      <x:c r="H130" s="48"/>
      <x:c r="I130" s="48"/>
      <x:c r="J130" s="48"/>
      <x:c r="K130" s="48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8"/>
      <x:c r="X130" s="48"/>
      <x:c r="Y130" s="48"/>
      <x:c r="Z130" s="48"/>
    </x:row>
    <x:row r="131">
      <x:c r="A131" s="48"/>
      <x:c r="B131" s="48"/>
      <x:c r="C131" s="48"/>
      <x:c r="D131" s="48"/>
      <x:c r="E131" s="48"/>
      <x:c r="F131" s="48"/>
      <x:c r="G131" s="48"/>
      <x:c r="H131" s="48"/>
      <x:c r="I131" s="48"/>
      <x:c r="J131" s="48"/>
      <x:c r="K131" s="48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8"/>
      <x:c r="X131" s="48"/>
      <x:c r="Y131" s="48"/>
      <x:c r="Z131" s="48"/>
    </x:row>
    <x:row r="132">
      <x:c r="A132" s="48"/>
      <x:c r="B132" s="48"/>
      <x:c r="C132" s="48"/>
      <x:c r="D132" s="48"/>
      <x:c r="E132" s="48"/>
      <x:c r="F132" s="48"/>
      <x:c r="G132" s="48"/>
      <x:c r="H132" s="48"/>
      <x:c r="I132" s="48"/>
      <x:c r="J132" s="48"/>
      <x:c r="K132" s="48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8"/>
      <x:c r="X132" s="48"/>
      <x:c r="Y132" s="48"/>
      <x:c r="Z132" s="48"/>
    </x:row>
    <x:row r="133">
      <x:c r="A133" s="48"/>
      <x:c r="B133" s="48"/>
      <x:c r="C133" s="48"/>
      <x:c r="D133" s="48"/>
      <x:c r="E133" s="48"/>
      <x:c r="F133" s="48"/>
      <x:c r="G133" s="48"/>
      <x:c r="H133" s="48"/>
      <x:c r="I133" s="48"/>
      <x:c r="J133" s="48"/>
      <x:c r="K133" s="48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8"/>
      <x:c r="X133" s="48"/>
      <x:c r="Y133" s="48"/>
      <x:c r="Z133" s="48"/>
    </x:row>
    <x:row r="134">
      <x:c r="A134" s="48"/>
      <x:c r="B134" s="48"/>
      <x:c r="C134" s="48"/>
      <x:c r="D134" s="48"/>
      <x:c r="E134" s="48"/>
      <x:c r="F134" s="48"/>
      <x:c r="G134" s="48"/>
      <x:c r="H134" s="48"/>
      <x:c r="I134" s="48"/>
      <x:c r="J134" s="48"/>
      <x:c r="K134" s="48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8"/>
      <x:c r="X134" s="48"/>
      <x:c r="Y134" s="48"/>
      <x:c r="Z134" s="48"/>
    </x:row>
    <x:row r="135">
      <x:c r="A135" s="48"/>
      <x:c r="B135" s="48"/>
      <x:c r="C135" s="48"/>
      <x:c r="D135" s="48"/>
      <x:c r="E135" s="48"/>
      <x:c r="F135" s="48"/>
      <x:c r="G135" s="48"/>
      <x:c r="H135" s="48"/>
      <x:c r="I135" s="48"/>
      <x:c r="J135" s="48"/>
      <x:c r="K135" s="48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8"/>
      <x:c r="X135" s="48"/>
      <x:c r="Y135" s="48"/>
      <x:c r="Z135" s="48"/>
    </x:row>
    <x:row r="136">
      <x:c r="A136" s="48"/>
      <x:c r="B136" s="48"/>
      <x:c r="C136" s="48"/>
      <x:c r="D136" s="48"/>
      <x:c r="E136" s="48"/>
      <x:c r="F136" s="48"/>
      <x:c r="G136" s="48"/>
      <x:c r="H136" s="48"/>
      <x:c r="I136" s="48"/>
      <x:c r="J136" s="48"/>
      <x:c r="K136" s="48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8"/>
      <x:c r="X136" s="48"/>
      <x:c r="Y136" s="48"/>
      <x:c r="Z136" s="48"/>
    </x:row>
    <x:row r="137">
      <x:c r="A137" s="48"/>
      <x:c r="B137" s="48"/>
      <x:c r="C137" s="48"/>
      <x:c r="D137" s="48"/>
      <x:c r="E137" s="48"/>
      <x:c r="F137" s="48"/>
      <x:c r="G137" s="48"/>
      <x:c r="H137" s="48"/>
      <x:c r="I137" s="48"/>
      <x:c r="J137" s="48"/>
      <x:c r="K137" s="48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8"/>
      <x:c r="X137" s="48"/>
      <x:c r="Y137" s="48"/>
      <x:c r="Z137" s="48"/>
    </x:row>
    <x:row r="138">
      <x:c r="A138" s="48"/>
      <x:c r="B138" s="48"/>
      <x:c r="C138" s="48"/>
      <x:c r="D138" s="48"/>
      <x:c r="E138" s="48"/>
      <x:c r="F138" s="48"/>
      <x:c r="G138" s="48"/>
      <x:c r="H138" s="48"/>
      <x:c r="I138" s="48"/>
      <x:c r="J138" s="48"/>
      <x:c r="K138" s="48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8"/>
      <x:c r="X138" s="48"/>
      <x:c r="Y138" s="48"/>
      <x:c r="Z138" s="48"/>
    </x:row>
    <x:row r="139">
      <x:c r="A139" s="48"/>
      <x:c r="B139" s="48"/>
      <x:c r="C139" s="48"/>
      <x:c r="D139" s="48"/>
      <x:c r="E139" s="48"/>
      <x:c r="F139" s="48"/>
      <x:c r="G139" s="48"/>
      <x:c r="H139" s="48"/>
      <x:c r="I139" s="48"/>
      <x:c r="J139" s="48"/>
      <x:c r="K139" s="48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8"/>
      <x:c r="X139" s="48"/>
      <x:c r="Y139" s="48"/>
      <x:c r="Z139" s="48"/>
    </x:row>
    <x:row r="140">
      <x:c r="A140" s="48"/>
      <x:c r="B140" s="48"/>
      <x:c r="C140" s="48"/>
      <x:c r="D140" s="48"/>
      <x:c r="E140" s="48"/>
      <x:c r="F140" s="48"/>
      <x:c r="G140" s="48"/>
      <x:c r="H140" s="48"/>
      <x:c r="I140" s="48"/>
      <x:c r="J140" s="48"/>
      <x:c r="K140" s="48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8"/>
      <x:c r="X140" s="48"/>
      <x:c r="Y140" s="48"/>
      <x:c r="Z140" s="48"/>
    </x:row>
    <x:row r="141">
      <x:c r="A141" s="48"/>
      <x:c r="B141" s="48"/>
      <x:c r="C141" s="48"/>
      <x:c r="D141" s="48"/>
      <x:c r="E141" s="48"/>
      <x:c r="F141" s="48"/>
      <x:c r="G141" s="48"/>
      <x:c r="H141" s="48"/>
      <x:c r="I141" s="48"/>
      <x:c r="J141" s="48"/>
      <x:c r="K141" s="48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8"/>
      <x:c r="X141" s="48"/>
      <x:c r="Y141" s="48"/>
      <x:c r="Z141" s="48"/>
    </x:row>
    <x:row r="142">
      <x:c r="A142" s="48"/>
      <x:c r="B142" s="48"/>
      <x:c r="C142" s="48"/>
      <x:c r="D142" s="48"/>
      <x:c r="E142" s="48"/>
      <x:c r="F142" s="48"/>
      <x:c r="G142" s="48"/>
      <x:c r="H142" s="48"/>
      <x:c r="I142" s="48"/>
      <x:c r="J142" s="48"/>
      <x:c r="K142" s="48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8"/>
      <x:c r="X142" s="48"/>
      <x:c r="Y142" s="48"/>
      <x:c r="Z142" s="48"/>
    </x:row>
    <x:row r="143">
      <x:c r="A143" s="48"/>
      <x:c r="B143" s="48"/>
      <x:c r="C143" s="48"/>
      <x:c r="D143" s="48"/>
      <x:c r="E143" s="48"/>
      <x:c r="F143" s="48"/>
      <x:c r="G143" s="48"/>
      <x:c r="H143" s="48"/>
      <x:c r="I143" s="48"/>
      <x:c r="J143" s="48"/>
      <x:c r="K143" s="48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8"/>
      <x:c r="X143" s="48"/>
      <x:c r="Y143" s="48"/>
      <x:c r="Z143" s="48"/>
    </x:row>
    <x:row r="144">
      <x:c r="A144" s="48"/>
      <x:c r="B144" s="48"/>
      <x:c r="C144" s="48"/>
      <x:c r="D144" s="48"/>
      <x:c r="E144" s="48"/>
      <x:c r="F144" s="48"/>
      <x:c r="G144" s="48"/>
      <x:c r="H144" s="48"/>
      <x:c r="I144" s="48"/>
      <x:c r="J144" s="48"/>
      <x:c r="K144" s="48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8"/>
      <x:c r="X144" s="48"/>
      <x:c r="Y144" s="48"/>
      <x:c r="Z144" s="48"/>
    </x:row>
    <x:row r="145">
      <x:c r="A145" s="48"/>
      <x:c r="B145" s="48"/>
      <x:c r="C145" s="48"/>
      <x:c r="D145" s="48"/>
      <x:c r="E145" s="48"/>
      <x:c r="F145" s="48"/>
      <x:c r="G145" s="48"/>
      <x:c r="H145" s="48"/>
      <x:c r="I145" s="48"/>
      <x:c r="J145" s="48"/>
      <x:c r="K145" s="48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8"/>
      <x:c r="X145" s="48"/>
      <x:c r="Y145" s="48"/>
      <x:c r="Z145" s="48"/>
    </x:row>
    <x:row r="146">
      <x:c r="A146" s="48"/>
      <x:c r="B146" s="48"/>
      <x:c r="C146" s="48"/>
      <x:c r="D146" s="48"/>
      <x:c r="E146" s="48"/>
      <x:c r="F146" s="48"/>
      <x:c r="G146" s="48"/>
      <x:c r="H146" s="48"/>
      <x:c r="I146" s="48"/>
      <x:c r="J146" s="48"/>
      <x:c r="K146" s="48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8"/>
      <x:c r="X146" s="48"/>
      <x:c r="Y146" s="48"/>
      <x:c r="Z146" s="48"/>
    </x:row>
    <x:row r="147">
      <x:c r="A147" s="48"/>
      <x:c r="B147" s="48"/>
      <x:c r="C147" s="48"/>
      <x:c r="D147" s="48"/>
      <x:c r="E147" s="48"/>
      <x:c r="F147" s="48"/>
      <x:c r="G147" s="48"/>
      <x:c r="H147" s="48"/>
      <x:c r="I147" s="48"/>
      <x:c r="J147" s="48"/>
      <x:c r="K147" s="48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8"/>
      <x:c r="X147" s="48"/>
      <x:c r="Y147" s="48"/>
      <x:c r="Z147" s="48"/>
    </x:row>
    <x:row r="148">
      <x:c r="A148" s="48"/>
      <x:c r="B148" s="48"/>
      <x:c r="C148" s="48"/>
      <x:c r="D148" s="48"/>
      <x:c r="E148" s="48"/>
      <x:c r="F148" s="48"/>
      <x:c r="G148" s="48"/>
      <x:c r="H148" s="48"/>
      <x:c r="I148" s="48"/>
      <x:c r="J148" s="48"/>
      <x:c r="K148" s="48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8"/>
      <x:c r="X148" s="48"/>
      <x:c r="Y148" s="48"/>
      <x:c r="Z148" s="48"/>
    </x:row>
    <x:row r="149">
      <x:c r="A149" s="48"/>
      <x:c r="B149" s="48"/>
      <x:c r="C149" s="48"/>
      <x:c r="D149" s="48"/>
      <x:c r="E149" s="48"/>
      <x:c r="F149" s="48"/>
      <x:c r="G149" s="48"/>
      <x:c r="H149" s="48"/>
      <x:c r="I149" s="48"/>
      <x:c r="J149" s="48"/>
      <x:c r="K149" s="48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8"/>
      <x:c r="X149" s="48"/>
      <x:c r="Y149" s="48"/>
      <x:c r="Z149" s="48"/>
    </x:row>
    <x:row r="150">
      <x:c r="A150" s="48"/>
      <x:c r="B150" s="48"/>
      <x:c r="C150" s="48"/>
      <x:c r="D150" s="48"/>
      <x:c r="E150" s="48"/>
      <x:c r="F150" s="48"/>
      <x:c r="G150" s="48"/>
      <x:c r="H150" s="48"/>
      <x:c r="I150" s="48"/>
      <x:c r="J150" s="48"/>
      <x:c r="K150" s="48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8"/>
      <x:c r="X150" s="48"/>
      <x:c r="Y150" s="48"/>
      <x:c r="Z150" s="48"/>
    </x:row>
    <x:row r="151">
      <x:c r="A151" s="48"/>
      <x:c r="B151" s="48"/>
      <x:c r="C151" s="48"/>
      <x:c r="D151" s="48"/>
      <x:c r="E151" s="48"/>
      <x:c r="F151" s="48"/>
      <x:c r="G151" s="48"/>
      <x:c r="H151" s="48"/>
      <x:c r="I151" s="48"/>
      <x:c r="J151" s="48"/>
      <x:c r="K151" s="48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8"/>
      <x:c r="X151" s="48"/>
      <x:c r="Y151" s="48"/>
      <x:c r="Z151" s="48"/>
    </x:row>
    <x:row r="152">
      <x:c r="A152" s="48"/>
      <x:c r="B152" s="48"/>
      <x:c r="C152" s="48"/>
      <x:c r="D152" s="48"/>
      <x:c r="E152" s="48"/>
      <x:c r="F152" s="48"/>
      <x:c r="G152" s="48"/>
      <x:c r="H152" s="48"/>
      <x:c r="I152" s="48"/>
      <x:c r="J152" s="48"/>
      <x:c r="K152" s="48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8"/>
      <x:c r="X152" s="48"/>
      <x:c r="Y152" s="48"/>
      <x:c r="Z152" s="48"/>
    </x:row>
    <x:row r="153">
      <x:c r="A153" s="48"/>
      <x:c r="B153" s="48"/>
      <x:c r="C153" s="48"/>
      <x:c r="D153" s="48"/>
      <x:c r="E153" s="48"/>
      <x:c r="F153" s="48"/>
      <x:c r="G153" s="48"/>
      <x:c r="H153" s="48"/>
      <x:c r="I153" s="48"/>
      <x:c r="J153" s="48"/>
      <x:c r="K153" s="48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8"/>
      <x:c r="X153" s="48"/>
      <x:c r="Y153" s="48"/>
      <x:c r="Z153" s="48"/>
    </x:row>
    <x:row r="154">
      <x:c r="A154" s="48"/>
      <x:c r="B154" s="48"/>
      <x:c r="C154" s="48"/>
      <x:c r="D154" s="48"/>
      <x:c r="E154" s="48"/>
      <x:c r="F154" s="48"/>
      <x:c r="G154" s="48"/>
      <x:c r="H154" s="48"/>
      <x:c r="I154" s="48"/>
      <x:c r="J154" s="48"/>
      <x:c r="K154" s="48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8"/>
      <x:c r="X154" s="48"/>
      <x:c r="Y154" s="48"/>
      <x:c r="Z154" s="48"/>
    </x:row>
    <x:row r="155">
      <x:c r="A155" s="48"/>
      <x:c r="B155" s="48"/>
      <x:c r="C155" s="48"/>
      <x:c r="D155" s="48"/>
      <x:c r="E155" s="48"/>
      <x:c r="F155" s="48"/>
      <x:c r="G155" s="48"/>
      <x:c r="H155" s="48"/>
      <x:c r="I155" s="48"/>
      <x:c r="J155" s="48"/>
      <x:c r="K155" s="48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8"/>
      <x:c r="X155" s="48"/>
      <x:c r="Y155" s="48"/>
      <x:c r="Z155" s="48"/>
    </x:row>
    <x:row r="156">
      <x:c r="A156" s="48"/>
      <x:c r="B156" s="48"/>
      <x:c r="C156" s="48"/>
      <x:c r="D156" s="48"/>
      <x:c r="E156" s="48"/>
      <x:c r="F156" s="48"/>
      <x:c r="G156" s="48"/>
      <x:c r="H156" s="48"/>
      <x:c r="I156" s="48"/>
      <x:c r="J156" s="48"/>
      <x:c r="K156" s="48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8"/>
      <x:c r="X156" s="48"/>
      <x:c r="Y156" s="48"/>
      <x:c r="Z156" s="48"/>
    </x:row>
    <x:row r="157">
      <x:c r="A157" s="48"/>
      <x:c r="B157" s="48"/>
      <x:c r="C157" s="48"/>
      <x:c r="D157" s="48"/>
      <x:c r="E157" s="48"/>
      <x:c r="F157" s="48"/>
      <x:c r="G157" s="48"/>
      <x:c r="H157" s="48"/>
      <x:c r="I157" s="48"/>
      <x:c r="J157" s="48"/>
      <x:c r="K157" s="48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8"/>
      <x:c r="X157" s="48"/>
      <x:c r="Y157" s="48"/>
      <x:c r="Z157" s="48"/>
    </x:row>
    <x:row r="158">
      <x:c r="A158" s="48"/>
      <x:c r="B158" s="48"/>
      <x:c r="C158" s="48"/>
      <x:c r="D158" s="48"/>
      <x:c r="E158" s="48"/>
      <x:c r="F158" s="48"/>
      <x:c r="G158" s="48"/>
      <x:c r="H158" s="48"/>
      <x:c r="I158" s="48"/>
      <x:c r="J158" s="48"/>
      <x:c r="K158" s="48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8"/>
      <x:c r="X158" s="48"/>
      <x:c r="Y158" s="48"/>
      <x:c r="Z158" s="48"/>
    </x:row>
    <x:row r="159">
      <x:c r="A159" s="48"/>
      <x:c r="B159" s="48"/>
      <x:c r="C159" s="48"/>
      <x:c r="D159" s="48"/>
      <x:c r="E159" s="48"/>
      <x:c r="F159" s="48"/>
      <x:c r="G159" s="48"/>
      <x:c r="H159" s="48"/>
      <x:c r="I159" s="48"/>
      <x:c r="J159" s="48"/>
      <x:c r="K159" s="48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8"/>
      <x:c r="X159" s="48"/>
      <x:c r="Y159" s="48"/>
      <x:c r="Z159" s="48"/>
    </x:row>
    <x:row r="160">
      <x:c r="A160" s="48"/>
      <x:c r="B160" s="48"/>
      <x:c r="C160" s="48"/>
      <x:c r="D160" s="48"/>
      <x:c r="E160" s="48"/>
      <x:c r="F160" s="48"/>
      <x:c r="G160" s="48"/>
      <x:c r="H160" s="48"/>
      <x:c r="I160" s="48"/>
      <x:c r="J160" s="48"/>
      <x:c r="K160" s="48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8"/>
      <x:c r="X160" s="48"/>
      <x:c r="Y160" s="48"/>
      <x:c r="Z160" s="48"/>
    </x:row>
    <x:row r="161">
      <x:c r="A161" s="48"/>
      <x:c r="B161" s="48"/>
      <x:c r="C161" s="48"/>
      <x:c r="D161" s="48"/>
      <x:c r="E161" s="48"/>
      <x:c r="F161" s="48"/>
      <x:c r="G161" s="48"/>
      <x:c r="H161" s="48"/>
      <x:c r="I161" s="48"/>
      <x:c r="J161" s="48"/>
      <x:c r="K161" s="48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8"/>
      <x:c r="X161" s="48"/>
      <x:c r="Y161" s="48"/>
      <x:c r="Z161" s="48"/>
    </x:row>
    <x:row r="162">
      <x:c r="A162" s="48"/>
      <x:c r="B162" s="48"/>
      <x:c r="C162" s="48"/>
      <x:c r="D162" s="48"/>
      <x:c r="E162" s="48"/>
      <x:c r="F162" s="48"/>
      <x:c r="G162" s="48"/>
      <x:c r="H162" s="48"/>
      <x:c r="I162" s="48"/>
      <x:c r="J162" s="48"/>
      <x:c r="K162" s="48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8"/>
      <x:c r="X162" s="48"/>
      <x:c r="Y162" s="48"/>
      <x:c r="Z162" s="48"/>
    </x:row>
    <x:row r="163">
      <x:c r="A163" s="48"/>
      <x:c r="B163" s="48"/>
      <x:c r="C163" s="48"/>
      <x:c r="D163" s="48"/>
      <x:c r="E163" s="48"/>
      <x:c r="F163" s="48"/>
      <x:c r="G163" s="48"/>
      <x:c r="H163" s="48"/>
      <x:c r="I163" s="48"/>
      <x:c r="J163" s="48"/>
      <x:c r="K163" s="48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8"/>
      <x:c r="X163" s="48"/>
      <x:c r="Y163" s="48"/>
      <x:c r="Z163" s="48"/>
    </x:row>
    <x:row r="164">
      <x:c r="A164" s="48"/>
      <x:c r="B164" s="48"/>
      <x:c r="C164" s="48"/>
      <x:c r="D164" s="48"/>
      <x:c r="E164" s="48"/>
      <x:c r="F164" s="48"/>
      <x:c r="G164" s="48"/>
      <x:c r="H164" s="48"/>
      <x:c r="I164" s="48"/>
      <x:c r="J164" s="48"/>
      <x:c r="K164" s="48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8"/>
      <x:c r="X164" s="48"/>
      <x:c r="Y164" s="48"/>
      <x:c r="Z164" s="48"/>
    </x:row>
    <x:row r="165">
      <x:c r="A165" s="48"/>
      <x:c r="B165" s="48"/>
      <x:c r="C165" s="48"/>
      <x:c r="D165" s="48"/>
      <x:c r="E165" s="48"/>
      <x:c r="F165" s="48"/>
      <x:c r="G165" s="48"/>
      <x:c r="H165" s="48"/>
      <x:c r="I165" s="48"/>
      <x:c r="J165" s="48"/>
      <x:c r="K165" s="48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8"/>
      <x:c r="X165" s="48"/>
      <x:c r="Y165" s="48"/>
      <x:c r="Z165" s="48"/>
    </x:row>
    <x:row r="166">
      <x:c r="A166" s="48"/>
      <x:c r="B166" s="48"/>
      <x:c r="C166" s="48"/>
      <x:c r="D166" s="48"/>
      <x:c r="E166" s="48"/>
      <x:c r="F166" s="48"/>
      <x:c r="G166" s="48"/>
      <x:c r="H166" s="48"/>
      <x:c r="I166" s="48"/>
      <x:c r="J166" s="48"/>
      <x:c r="K166" s="48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8"/>
      <x:c r="X166" s="48"/>
      <x:c r="Y166" s="48"/>
      <x:c r="Z166" s="48"/>
    </x:row>
    <x:row r="167">
      <x:c r="A167" s="48"/>
      <x:c r="B167" s="48"/>
      <x:c r="C167" s="48"/>
      <x:c r="D167" s="48"/>
      <x:c r="E167" s="48"/>
      <x:c r="F167" s="48"/>
      <x:c r="G167" s="48"/>
      <x:c r="H167" s="48"/>
      <x:c r="I167" s="48"/>
      <x:c r="J167" s="48"/>
      <x:c r="K167" s="48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8"/>
      <x:c r="X167" s="48"/>
      <x:c r="Y167" s="48"/>
      <x:c r="Z167" s="48"/>
    </x:row>
    <x:row r="168">
      <x:c r="A168" s="48"/>
      <x:c r="B168" s="48"/>
      <x:c r="C168" s="48"/>
      <x:c r="D168" s="48"/>
      <x:c r="E168" s="48"/>
      <x:c r="F168" s="48"/>
      <x:c r="G168" s="48"/>
      <x:c r="H168" s="48"/>
      <x:c r="I168" s="48"/>
      <x:c r="J168" s="48"/>
      <x:c r="K168" s="48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8"/>
      <x:c r="X168" s="48"/>
      <x:c r="Y168" s="48"/>
      <x:c r="Z168" s="48"/>
    </x:row>
    <x:row r="169">
      <x:c r="A169" s="48"/>
      <x:c r="B169" s="48"/>
      <x:c r="C169" s="48"/>
      <x:c r="D169" s="48"/>
      <x:c r="E169" s="48"/>
      <x:c r="F169" s="48"/>
      <x:c r="G169" s="48"/>
      <x:c r="H169" s="48"/>
      <x:c r="I169" s="48"/>
      <x:c r="J169" s="48"/>
      <x:c r="K169" s="48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8"/>
      <x:c r="X169" s="48"/>
      <x:c r="Y169" s="48"/>
      <x:c r="Z169" s="48"/>
    </x:row>
    <x:row r="170">
      <x:c r="A170" s="48"/>
      <x:c r="B170" s="48"/>
      <x:c r="C170" s="48"/>
      <x:c r="D170" s="48"/>
      <x:c r="E170" s="48"/>
      <x:c r="F170" s="48"/>
      <x:c r="G170" s="48"/>
      <x:c r="H170" s="48"/>
      <x:c r="I170" s="48"/>
      <x:c r="J170" s="48"/>
      <x:c r="K170" s="48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8"/>
      <x:c r="X170" s="48"/>
      <x:c r="Y170" s="48"/>
      <x:c r="Z170" s="48"/>
    </x:row>
    <x:row r="171">
      <x:c r="A171" s="48"/>
      <x:c r="B171" s="48"/>
      <x:c r="C171" s="48"/>
      <x:c r="D171" s="48"/>
      <x:c r="E171" s="48"/>
      <x:c r="F171" s="48"/>
      <x:c r="G171" s="48"/>
      <x:c r="H171" s="48"/>
      <x:c r="I171" s="48"/>
      <x:c r="J171" s="48"/>
      <x:c r="K171" s="48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8"/>
      <x:c r="X171" s="48"/>
      <x:c r="Y171" s="48"/>
      <x:c r="Z171" s="48"/>
    </x:row>
    <x:row r="172">
      <x:c r="A172" s="48"/>
      <x:c r="B172" s="48"/>
      <x:c r="C172" s="48"/>
      <x:c r="D172" s="48"/>
      <x:c r="E172" s="48"/>
      <x:c r="F172" s="48"/>
      <x:c r="G172" s="48"/>
      <x:c r="H172" s="48"/>
      <x:c r="I172" s="48"/>
      <x:c r="J172" s="48"/>
      <x:c r="K172" s="48"/>
      <x:c r="L172" s="48"/>
      <x:c r="M172" s="48"/>
      <x:c r="N172" s="48"/>
      <x:c r="O172" s="48"/>
      <x:c r="P172" s="48"/>
      <x:c r="Q172" s="48"/>
      <x:c r="R172" s="48"/>
      <x:c r="S172" s="48"/>
      <x:c r="T172" s="48"/>
      <x:c r="U172" s="48"/>
      <x:c r="V172" s="48"/>
      <x:c r="W172" s="48"/>
      <x:c r="X172" s="48"/>
      <x:c r="Y172" s="48"/>
      <x:c r="Z172" s="48"/>
    </x:row>
    <x:row r="173">
      <x:c r="A173" s="48"/>
      <x:c r="B173" s="48"/>
      <x:c r="C173" s="48"/>
      <x:c r="D173" s="48"/>
      <x:c r="E173" s="48"/>
      <x:c r="F173" s="48"/>
      <x:c r="G173" s="48"/>
      <x:c r="H173" s="48"/>
      <x:c r="I173" s="48"/>
      <x:c r="J173" s="48"/>
      <x:c r="K173" s="48"/>
      <x:c r="L173" s="48"/>
      <x:c r="M173" s="48"/>
      <x:c r="N173" s="48"/>
      <x:c r="O173" s="48"/>
      <x:c r="P173" s="48"/>
      <x:c r="Q173" s="48"/>
      <x:c r="R173" s="48"/>
      <x:c r="S173" s="48"/>
      <x:c r="T173" s="48"/>
      <x:c r="U173" s="48"/>
      <x:c r="V173" s="48"/>
      <x:c r="W173" s="48"/>
      <x:c r="X173" s="48"/>
      <x:c r="Y173" s="48"/>
      <x:c r="Z173" s="48"/>
    </x:row>
    <x:row r="174">
      <x:c r="A174" s="48"/>
      <x:c r="B174" s="48"/>
      <x:c r="C174" s="48"/>
      <x:c r="D174" s="48"/>
      <x:c r="E174" s="48"/>
      <x:c r="F174" s="48"/>
      <x:c r="G174" s="48"/>
      <x:c r="H174" s="48"/>
      <x:c r="I174" s="48"/>
      <x:c r="J174" s="48"/>
      <x:c r="K174" s="48"/>
      <x:c r="L174" s="48"/>
      <x:c r="M174" s="48"/>
      <x:c r="N174" s="48"/>
      <x:c r="O174" s="48"/>
      <x:c r="P174" s="48"/>
      <x:c r="Q174" s="48"/>
      <x:c r="R174" s="48"/>
      <x:c r="S174" s="48"/>
      <x:c r="T174" s="48"/>
      <x:c r="U174" s="48"/>
      <x:c r="V174" s="48"/>
      <x:c r="W174" s="48"/>
      <x:c r="X174" s="48"/>
      <x:c r="Y174" s="48"/>
      <x:c r="Z174" s="48"/>
    </x:row>
    <x:row r="175">
      <x:c r="A175" s="48"/>
      <x:c r="B175" s="48"/>
      <x:c r="C175" s="48"/>
      <x:c r="D175" s="48"/>
      <x:c r="E175" s="48"/>
      <x:c r="F175" s="48"/>
      <x:c r="G175" s="48"/>
      <x:c r="H175" s="48"/>
      <x:c r="I175" s="48"/>
      <x:c r="J175" s="48"/>
      <x:c r="K175" s="48"/>
      <x:c r="L175" s="48"/>
      <x:c r="M175" s="48"/>
      <x:c r="N175" s="48"/>
      <x:c r="O175" s="48"/>
      <x:c r="P175" s="48"/>
      <x:c r="Q175" s="48"/>
      <x:c r="R175" s="48"/>
      <x:c r="S175" s="48"/>
      <x:c r="T175" s="48"/>
      <x:c r="U175" s="48"/>
      <x:c r="V175" s="48"/>
      <x:c r="W175" s="48"/>
      <x:c r="X175" s="48"/>
      <x:c r="Y175" s="48"/>
      <x:c r="Z175" s="48"/>
    </x:row>
    <x:row r="176">
      <x:c r="A176" s="48"/>
      <x:c r="B176" s="48"/>
      <x:c r="C176" s="48"/>
      <x:c r="D176" s="48"/>
      <x:c r="E176" s="48"/>
      <x:c r="F176" s="48"/>
      <x:c r="G176" s="48"/>
      <x:c r="H176" s="48"/>
      <x:c r="I176" s="48"/>
      <x:c r="J176" s="48"/>
      <x:c r="K176" s="48"/>
      <x:c r="L176" s="48"/>
      <x:c r="M176" s="48"/>
      <x:c r="N176" s="48"/>
      <x:c r="O176" s="48"/>
      <x:c r="P176" s="48"/>
      <x:c r="Q176" s="48"/>
      <x:c r="R176" s="48"/>
      <x:c r="S176" s="48"/>
      <x:c r="T176" s="48"/>
      <x:c r="U176" s="48"/>
      <x:c r="V176" s="48"/>
      <x:c r="W176" s="48"/>
      <x:c r="X176" s="48"/>
      <x:c r="Y176" s="48"/>
      <x:c r="Z176" s="48"/>
    </x:row>
    <x:row r="177">
      <x:c r="A177" s="48"/>
      <x:c r="B177" s="48"/>
      <x:c r="C177" s="48"/>
      <x:c r="D177" s="48"/>
      <x:c r="E177" s="48"/>
      <x:c r="F177" s="48"/>
      <x:c r="G177" s="48"/>
      <x:c r="H177" s="48"/>
      <x:c r="I177" s="48"/>
      <x:c r="J177" s="48"/>
      <x:c r="K177" s="48"/>
      <x:c r="L177" s="48"/>
      <x:c r="M177" s="48"/>
      <x:c r="N177" s="48"/>
      <x:c r="O177" s="48"/>
      <x:c r="P177" s="48"/>
      <x:c r="Q177" s="48"/>
      <x:c r="R177" s="48"/>
      <x:c r="S177" s="48"/>
      <x:c r="T177" s="48"/>
      <x:c r="U177" s="48"/>
      <x:c r="V177" s="48"/>
      <x:c r="W177" s="48"/>
      <x:c r="X177" s="48"/>
      <x:c r="Y177" s="48"/>
      <x:c r="Z177" s="48"/>
    </x:row>
    <x:row r="178">
      <x:c r="A178" s="48"/>
      <x:c r="B178" s="48"/>
      <x:c r="C178" s="48"/>
      <x:c r="D178" s="48"/>
      <x:c r="E178" s="48"/>
      <x:c r="F178" s="48"/>
      <x:c r="G178" s="48"/>
      <x:c r="H178" s="48"/>
      <x:c r="I178" s="48"/>
      <x:c r="J178" s="48"/>
      <x:c r="K178" s="48"/>
      <x:c r="L178" s="48"/>
      <x:c r="M178" s="48"/>
      <x:c r="N178" s="48"/>
      <x:c r="O178" s="48"/>
      <x:c r="P178" s="48"/>
      <x:c r="Q178" s="48"/>
      <x:c r="R178" s="48"/>
      <x:c r="S178" s="48"/>
      <x:c r="T178" s="48"/>
      <x:c r="U178" s="48"/>
      <x:c r="V178" s="48"/>
      <x:c r="W178" s="48"/>
      <x:c r="X178" s="48"/>
      <x:c r="Y178" s="48"/>
      <x:c r="Z178" s="48"/>
    </x:row>
    <x:row r="179">
      <x:c r="A179" s="48"/>
      <x:c r="B179" s="48"/>
      <x:c r="C179" s="48"/>
      <x:c r="D179" s="48"/>
      <x:c r="E179" s="48"/>
      <x:c r="F179" s="48"/>
      <x:c r="G179" s="48"/>
      <x:c r="H179" s="48"/>
      <x:c r="I179" s="48"/>
      <x:c r="J179" s="48"/>
      <x:c r="K179" s="48"/>
      <x:c r="L179" s="48"/>
      <x:c r="M179" s="48"/>
      <x:c r="N179" s="48"/>
      <x:c r="O179" s="48"/>
      <x:c r="P179" s="48"/>
      <x:c r="Q179" s="48"/>
      <x:c r="R179" s="48"/>
      <x:c r="S179" s="48"/>
      <x:c r="T179" s="48"/>
      <x:c r="U179" s="48"/>
      <x:c r="V179" s="48"/>
      <x:c r="W179" s="48"/>
      <x:c r="X179" s="48"/>
      <x:c r="Y179" s="48"/>
      <x:c r="Z179" s="48"/>
    </x:row>
    <x:row r="180">
      <x:c r="A180" s="48"/>
      <x:c r="B180" s="48"/>
      <x:c r="C180" s="48"/>
      <x:c r="D180" s="48"/>
      <x:c r="E180" s="48"/>
      <x:c r="F180" s="48"/>
      <x:c r="G180" s="48"/>
      <x:c r="H180" s="48"/>
      <x:c r="I180" s="48"/>
      <x:c r="J180" s="48"/>
      <x:c r="K180" s="48"/>
      <x:c r="L180" s="48"/>
      <x:c r="M180" s="48"/>
      <x:c r="N180" s="48"/>
      <x:c r="O180" s="48"/>
      <x:c r="P180" s="48"/>
      <x:c r="Q180" s="48"/>
      <x:c r="R180" s="48"/>
      <x:c r="S180" s="48"/>
      <x:c r="T180" s="48"/>
      <x:c r="U180" s="48"/>
      <x:c r="V180" s="48"/>
      <x:c r="W180" s="48"/>
      <x:c r="X180" s="48"/>
      <x:c r="Y180" s="48"/>
      <x:c r="Z180" s="48"/>
    </x:row>
    <x:row r="181">
      <x:c r="A181" s="48"/>
      <x:c r="B181" s="48"/>
      <x:c r="C181" s="48"/>
      <x:c r="D181" s="48"/>
      <x:c r="E181" s="48"/>
      <x:c r="F181" s="48"/>
      <x:c r="G181" s="48"/>
      <x:c r="H181" s="48"/>
      <x:c r="I181" s="48"/>
      <x:c r="J181" s="48"/>
      <x:c r="K181" s="48"/>
      <x:c r="L181" s="48"/>
      <x:c r="M181" s="48"/>
      <x:c r="N181" s="48"/>
      <x:c r="O181" s="48"/>
      <x:c r="P181" s="48"/>
      <x:c r="Q181" s="48"/>
      <x:c r="R181" s="48"/>
      <x:c r="S181" s="48"/>
      <x:c r="T181" s="48"/>
      <x:c r="U181" s="48"/>
      <x:c r="V181" s="48"/>
      <x:c r="W181" s="48"/>
      <x:c r="X181" s="48"/>
      <x:c r="Y181" s="48"/>
      <x:c r="Z181" s="48"/>
    </x:row>
    <x:row r="182">
      <x:c r="A182" s="48"/>
      <x:c r="B182" s="48"/>
      <x:c r="C182" s="48"/>
      <x:c r="D182" s="48"/>
      <x:c r="E182" s="48"/>
      <x:c r="F182" s="48"/>
      <x:c r="G182" s="48"/>
      <x:c r="H182" s="48"/>
      <x:c r="I182" s="48"/>
      <x:c r="J182" s="48"/>
      <x:c r="K182" s="48"/>
      <x:c r="L182" s="48"/>
      <x:c r="M182" s="48"/>
      <x:c r="N182" s="48"/>
      <x:c r="O182" s="48"/>
      <x:c r="P182" s="48"/>
      <x:c r="Q182" s="48"/>
      <x:c r="R182" s="48"/>
      <x:c r="S182" s="48"/>
      <x:c r="T182" s="48"/>
      <x:c r="U182" s="48"/>
      <x:c r="V182" s="48"/>
      <x:c r="W182" s="48"/>
      <x:c r="X182" s="48"/>
      <x:c r="Y182" s="48"/>
      <x:c r="Z182" s="48"/>
    </x:row>
    <x:row r="183">
      <x:c r="A183" s="48"/>
      <x:c r="B183" s="48"/>
      <x:c r="C183" s="48"/>
      <x:c r="D183" s="48"/>
      <x:c r="E183" s="48"/>
      <x:c r="F183" s="48"/>
      <x:c r="G183" s="48"/>
      <x:c r="H183" s="48"/>
      <x:c r="I183" s="48"/>
      <x:c r="J183" s="48"/>
      <x:c r="K183" s="48"/>
      <x:c r="L183" s="48"/>
      <x:c r="M183" s="48"/>
      <x:c r="N183" s="48"/>
      <x:c r="O183" s="48"/>
      <x:c r="P183" s="48"/>
      <x:c r="Q183" s="48"/>
      <x:c r="R183" s="48"/>
      <x:c r="S183" s="48"/>
      <x:c r="T183" s="48"/>
      <x:c r="U183" s="48"/>
      <x:c r="V183" s="48"/>
      <x:c r="W183" s="48"/>
      <x:c r="X183" s="48"/>
      <x:c r="Y183" s="48"/>
      <x:c r="Z183" s="48"/>
    </x:row>
    <x:row r="184">
      <x:c r="A184" s="48"/>
      <x:c r="B184" s="48"/>
      <x:c r="C184" s="48"/>
      <x:c r="D184" s="48"/>
      <x:c r="E184" s="48"/>
      <x:c r="F184" s="48"/>
      <x:c r="G184" s="48"/>
      <x:c r="H184" s="48"/>
      <x:c r="I184" s="48"/>
      <x:c r="J184" s="48"/>
      <x:c r="K184" s="48"/>
      <x:c r="L184" s="48"/>
      <x:c r="M184" s="48"/>
      <x:c r="N184" s="48"/>
      <x:c r="O184" s="48"/>
      <x:c r="P184" s="48"/>
      <x:c r="Q184" s="48"/>
      <x:c r="R184" s="48"/>
      <x:c r="S184" s="48"/>
      <x:c r="T184" s="48"/>
      <x:c r="U184" s="48"/>
      <x:c r="V184" s="48"/>
      <x:c r="W184" s="48"/>
      <x:c r="X184" s="48"/>
      <x:c r="Y184" s="48"/>
      <x:c r="Z184" s="48"/>
    </x:row>
    <x:row r="185">
      <x:c r="A185" s="48"/>
      <x:c r="B185" s="48"/>
      <x:c r="C185" s="48"/>
      <x:c r="D185" s="48"/>
      <x:c r="E185" s="48"/>
      <x:c r="F185" s="48"/>
      <x:c r="G185" s="48"/>
      <x:c r="H185" s="48"/>
      <x:c r="I185" s="48"/>
      <x:c r="J185" s="48"/>
      <x:c r="K185" s="48"/>
      <x:c r="L185" s="48"/>
      <x:c r="M185" s="48"/>
      <x:c r="N185" s="48"/>
      <x:c r="O185" s="48"/>
      <x:c r="P185" s="48"/>
      <x:c r="Q185" s="48"/>
      <x:c r="R185" s="48"/>
      <x:c r="S185" s="48"/>
      <x:c r="T185" s="48"/>
      <x:c r="U185" s="48"/>
      <x:c r="V185" s="48"/>
      <x:c r="W185" s="48"/>
      <x:c r="X185" s="48"/>
      <x:c r="Y185" s="48"/>
      <x:c r="Z185" s="48"/>
    </x:row>
    <x:row r="186">
      <x:c r="A186" s="48"/>
      <x:c r="B186" s="48"/>
      <x:c r="C186" s="48"/>
      <x:c r="D186" s="48"/>
      <x:c r="E186" s="48"/>
      <x:c r="F186" s="48"/>
      <x:c r="G186" s="48"/>
      <x:c r="H186" s="48"/>
      <x:c r="I186" s="48"/>
      <x:c r="J186" s="48"/>
      <x:c r="K186" s="48"/>
      <x:c r="L186" s="48"/>
      <x:c r="M186" s="48"/>
      <x:c r="N186" s="48"/>
      <x:c r="O186" s="48"/>
      <x:c r="P186" s="48"/>
      <x:c r="Q186" s="48"/>
      <x:c r="R186" s="48"/>
      <x:c r="S186" s="48"/>
      <x:c r="T186" s="48"/>
      <x:c r="U186" s="48"/>
      <x:c r="V186" s="48"/>
      <x:c r="W186" s="48"/>
      <x:c r="X186" s="48"/>
      <x:c r="Y186" s="48"/>
      <x:c r="Z186" s="48"/>
    </x:row>
    <x:row r="187">
      <x:c r="A187" s="48"/>
      <x:c r="B187" s="48"/>
      <x:c r="C187" s="48"/>
      <x:c r="D187" s="48"/>
      <x:c r="E187" s="48"/>
      <x:c r="F187" s="48"/>
      <x:c r="G187" s="48"/>
      <x:c r="H187" s="48"/>
      <x:c r="I187" s="48"/>
      <x:c r="J187" s="48"/>
      <x:c r="K187" s="48"/>
      <x:c r="L187" s="48"/>
      <x:c r="M187" s="48"/>
      <x:c r="N187" s="48"/>
      <x:c r="O187" s="48"/>
      <x:c r="P187" s="48"/>
      <x:c r="Q187" s="48"/>
      <x:c r="R187" s="48"/>
      <x:c r="S187" s="48"/>
      <x:c r="T187" s="48"/>
      <x:c r="U187" s="48"/>
      <x:c r="V187" s="48"/>
      <x:c r="W187" s="48"/>
      <x:c r="X187" s="48"/>
      <x:c r="Y187" s="48"/>
      <x:c r="Z187" s="48"/>
    </x:row>
    <x:row r="188">
      <x:c r="A188" s="48"/>
      <x:c r="B188" s="48"/>
      <x:c r="C188" s="48"/>
      <x:c r="D188" s="48"/>
      <x:c r="E188" s="48"/>
      <x:c r="F188" s="48"/>
      <x:c r="G188" s="48"/>
      <x:c r="H188" s="48"/>
      <x:c r="I188" s="48"/>
      <x:c r="J188" s="48"/>
      <x:c r="K188" s="48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  <x:c r="W188" s="48"/>
      <x:c r="X188" s="48"/>
      <x:c r="Y188" s="48"/>
      <x:c r="Z188" s="48"/>
    </x:row>
    <x:row r="189">
      <x:c r="A189" s="48"/>
      <x:c r="B189" s="48"/>
      <x:c r="C189" s="48"/>
      <x:c r="D189" s="48"/>
      <x:c r="E189" s="48"/>
      <x:c r="F189" s="48"/>
      <x:c r="G189" s="48"/>
      <x:c r="H189" s="48"/>
      <x:c r="I189" s="48"/>
      <x:c r="J189" s="48"/>
      <x:c r="K189" s="48"/>
      <x:c r="L189" s="48"/>
      <x:c r="M189" s="48"/>
      <x:c r="N189" s="48"/>
      <x:c r="O189" s="48"/>
      <x:c r="P189" s="48"/>
      <x:c r="Q189" s="48"/>
      <x:c r="R189" s="48"/>
      <x:c r="S189" s="48"/>
      <x:c r="T189" s="48"/>
      <x:c r="U189" s="48"/>
      <x:c r="V189" s="48"/>
      <x:c r="W189" s="48"/>
      <x:c r="X189" s="48"/>
      <x:c r="Y189" s="48"/>
      <x:c r="Z189" s="48"/>
    </x:row>
    <x:row r="190">
      <x:c r="A190" s="48"/>
      <x:c r="B190" s="48"/>
      <x:c r="C190" s="48"/>
      <x:c r="D190" s="48"/>
      <x:c r="E190" s="48"/>
      <x:c r="F190" s="48"/>
      <x:c r="G190" s="48"/>
      <x:c r="H190" s="48"/>
      <x:c r="I190" s="48"/>
      <x:c r="J190" s="48"/>
      <x:c r="K190" s="48"/>
      <x:c r="L190" s="48"/>
      <x:c r="M190" s="48"/>
      <x:c r="N190" s="48"/>
      <x:c r="O190" s="48"/>
      <x:c r="P190" s="48"/>
      <x:c r="Q190" s="48"/>
      <x:c r="R190" s="48"/>
      <x:c r="S190" s="48"/>
      <x:c r="T190" s="48"/>
      <x:c r="U190" s="48"/>
      <x:c r="V190" s="48"/>
      <x:c r="W190" s="48"/>
      <x:c r="X190" s="48"/>
      <x:c r="Y190" s="48"/>
      <x:c r="Z190" s="48"/>
    </x:row>
    <x:row r="191">
      <x:c r="A191" s="48"/>
      <x:c r="B191" s="48"/>
      <x:c r="C191" s="48"/>
      <x:c r="D191" s="48"/>
      <x:c r="E191" s="48"/>
      <x:c r="F191" s="48"/>
      <x:c r="G191" s="48"/>
      <x:c r="H191" s="48"/>
      <x:c r="I191" s="48"/>
      <x:c r="J191" s="48"/>
      <x:c r="K191" s="48"/>
      <x:c r="L191" s="48"/>
      <x:c r="M191" s="48"/>
      <x:c r="N191" s="48"/>
      <x:c r="O191" s="48"/>
      <x:c r="P191" s="48"/>
      <x:c r="Q191" s="48"/>
      <x:c r="R191" s="48"/>
      <x:c r="S191" s="48"/>
      <x:c r="T191" s="48"/>
      <x:c r="U191" s="48"/>
      <x:c r="V191" s="48"/>
      <x:c r="W191" s="48"/>
      <x:c r="X191" s="48"/>
      <x:c r="Y191" s="48"/>
      <x:c r="Z191" s="48"/>
    </x:row>
    <x:row r="192">
      <x:c r="A192" s="48"/>
      <x:c r="B192" s="48"/>
      <x:c r="C192" s="48"/>
      <x:c r="D192" s="48"/>
      <x:c r="E192" s="48"/>
      <x:c r="F192" s="48"/>
      <x:c r="G192" s="48"/>
      <x:c r="H192" s="48"/>
      <x:c r="I192" s="48"/>
      <x:c r="J192" s="48"/>
      <x:c r="K192" s="48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  <x:c r="W192" s="48"/>
      <x:c r="X192" s="48"/>
      <x:c r="Y192" s="48"/>
      <x:c r="Z192" s="48"/>
    </x:row>
    <x:row r="193">
      <x:c r="A193" s="48"/>
      <x:c r="B193" s="48"/>
      <x:c r="C193" s="48"/>
      <x:c r="D193" s="48"/>
      <x:c r="E193" s="48"/>
      <x:c r="F193" s="48"/>
      <x:c r="G193" s="48"/>
      <x:c r="H193" s="48"/>
      <x:c r="I193" s="48"/>
      <x:c r="J193" s="48"/>
      <x:c r="K193" s="48"/>
      <x:c r="L193" s="48"/>
      <x:c r="M193" s="48"/>
      <x:c r="N193" s="48"/>
      <x:c r="O193" s="48"/>
      <x:c r="P193" s="48"/>
      <x:c r="Q193" s="48"/>
      <x:c r="R193" s="48"/>
      <x:c r="S193" s="48"/>
      <x:c r="T193" s="48"/>
      <x:c r="U193" s="48"/>
      <x:c r="V193" s="48"/>
      <x:c r="W193" s="48"/>
      <x:c r="X193" s="48"/>
      <x:c r="Y193" s="48"/>
      <x:c r="Z193" s="48"/>
    </x:row>
    <x:row r="194">
      <x:c r="A194" s="48"/>
      <x:c r="B194" s="48"/>
      <x:c r="C194" s="48"/>
      <x:c r="D194" s="48"/>
      <x:c r="E194" s="48"/>
      <x:c r="F194" s="48"/>
      <x:c r="G194" s="48"/>
      <x:c r="H194" s="48"/>
      <x:c r="I194" s="48"/>
      <x:c r="J194" s="48"/>
      <x:c r="K194" s="48"/>
      <x:c r="L194" s="48"/>
      <x:c r="M194" s="48"/>
      <x:c r="N194" s="48"/>
      <x:c r="O194" s="48"/>
      <x:c r="P194" s="48"/>
      <x:c r="Q194" s="48"/>
      <x:c r="R194" s="48"/>
      <x:c r="S194" s="48"/>
      <x:c r="T194" s="48"/>
      <x:c r="U194" s="48"/>
      <x:c r="V194" s="48"/>
      <x:c r="W194" s="48"/>
      <x:c r="X194" s="48"/>
      <x:c r="Y194" s="48"/>
      <x:c r="Z194" s="48"/>
    </x:row>
    <x:row r="195">
      <x:c r="A195" s="48"/>
      <x:c r="B195" s="48"/>
      <x:c r="C195" s="48"/>
      <x:c r="D195" s="48"/>
      <x:c r="E195" s="48"/>
      <x:c r="F195" s="48"/>
      <x:c r="G195" s="48"/>
      <x:c r="H195" s="48"/>
      <x:c r="I195" s="48"/>
      <x:c r="J195" s="48"/>
      <x:c r="K195" s="48"/>
      <x:c r="L195" s="48"/>
      <x:c r="M195" s="48"/>
      <x:c r="N195" s="48"/>
      <x:c r="O195" s="48"/>
      <x:c r="P195" s="48"/>
      <x:c r="Q195" s="48"/>
      <x:c r="R195" s="48"/>
      <x:c r="S195" s="48"/>
      <x:c r="T195" s="48"/>
      <x:c r="U195" s="48"/>
      <x:c r="V195" s="48"/>
      <x:c r="W195" s="48"/>
      <x:c r="X195" s="48"/>
      <x:c r="Y195" s="48"/>
      <x:c r="Z195" s="48"/>
    </x:row>
    <x:row r="196">
      <x:c r="A196" s="48"/>
      <x:c r="B196" s="48"/>
      <x:c r="C196" s="48"/>
      <x:c r="D196" s="48"/>
      <x:c r="E196" s="48"/>
      <x:c r="F196" s="48"/>
      <x:c r="G196" s="48"/>
      <x:c r="H196" s="48"/>
      <x:c r="I196" s="48"/>
      <x:c r="J196" s="48"/>
      <x:c r="K196" s="48"/>
      <x:c r="L196" s="48"/>
      <x:c r="M196" s="48"/>
      <x:c r="N196" s="48"/>
      <x:c r="O196" s="48"/>
      <x:c r="P196" s="48"/>
      <x:c r="Q196" s="48"/>
      <x:c r="R196" s="48"/>
      <x:c r="S196" s="48"/>
      <x:c r="T196" s="48"/>
      <x:c r="U196" s="48"/>
      <x:c r="V196" s="48"/>
      <x:c r="W196" s="48"/>
      <x:c r="X196" s="48"/>
      <x:c r="Y196" s="48"/>
      <x:c r="Z196" s="48"/>
    </x:row>
    <x:row r="197">
      <x:c r="A197" s="48"/>
      <x:c r="B197" s="48"/>
      <x:c r="C197" s="48"/>
      <x:c r="D197" s="48"/>
      <x:c r="E197" s="48"/>
      <x:c r="F197" s="48"/>
      <x:c r="G197" s="48"/>
      <x:c r="H197" s="48"/>
      <x:c r="I197" s="48"/>
      <x:c r="J197" s="48"/>
      <x:c r="K197" s="48"/>
      <x:c r="L197" s="48"/>
      <x:c r="M197" s="48"/>
      <x:c r="N197" s="48"/>
      <x:c r="O197" s="48"/>
      <x:c r="P197" s="48"/>
      <x:c r="Q197" s="48"/>
      <x:c r="R197" s="48"/>
      <x:c r="S197" s="48"/>
      <x:c r="T197" s="48"/>
      <x:c r="U197" s="48"/>
      <x:c r="V197" s="48"/>
      <x:c r="W197" s="48"/>
      <x:c r="X197" s="48"/>
      <x:c r="Y197" s="48"/>
      <x:c r="Z197" s="48"/>
    </x:row>
    <x:row r="198">
      <x:c r="A198" s="48"/>
      <x:c r="B198" s="48"/>
      <x:c r="C198" s="48"/>
      <x:c r="D198" s="48"/>
      <x:c r="E198" s="48"/>
      <x:c r="F198" s="48"/>
      <x:c r="G198" s="48"/>
      <x:c r="H198" s="48"/>
      <x:c r="I198" s="48"/>
      <x:c r="J198" s="48"/>
      <x:c r="K198" s="48"/>
      <x:c r="L198" s="48"/>
      <x:c r="M198" s="48"/>
      <x:c r="N198" s="48"/>
      <x:c r="O198" s="48"/>
      <x:c r="P198" s="48"/>
      <x:c r="Q198" s="48"/>
      <x:c r="R198" s="48"/>
      <x:c r="S198" s="48"/>
      <x:c r="T198" s="48"/>
      <x:c r="U198" s="48"/>
      <x:c r="V198" s="48"/>
      <x:c r="W198" s="48"/>
      <x:c r="X198" s="48"/>
      <x:c r="Y198" s="48"/>
      <x:c r="Z198" s="48"/>
    </x:row>
    <x:row r="199">
      <x:c r="A199" s="48"/>
      <x:c r="B199" s="48"/>
      <x:c r="C199" s="48"/>
      <x:c r="D199" s="48"/>
      <x:c r="E199" s="48"/>
      <x:c r="F199" s="48"/>
      <x:c r="G199" s="48"/>
      <x:c r="H199" s="48"/>
      <x:c r="I199" s="48"/>
      <x:c r="J199" s="48"/>
      <x:c r="K199" s="48"/>
      <x:c r="L199" s="48"/>
      <x:c r="M199" s="48"/>
      <x:c r="N199" s="48"/>
      <x:c r="O199" s="48"/>
      <x:c r="P199" s="48"/>
      <x:c r="Q199" s="48"/>
      <x:c r="R199" s="48"/>
      <x:c r="S199" s="48"/>
      <x:c r="T199" s="48"/>
      <x:c r="U199" s="48"/>
      <x:c r="V199" s="48"/>
      <x:c r="W199" s="48"/>
      <x:c r="X199" s="48"/>
      <x:c r="Y199" s="48"/>
      <x:c r="Z199" s="48"/>
    </x:row>
    <x:row r="200">
      <x:c r="A200" s="48"/>
      <x:c r="B200" s="48"/>
      <x:c r="C200" s="48"/>
      <x:c r="D200" s="48"/>
      <x:c r="E200" s="48"/>
      <x:c r="F200" s="48"/>
      <x:c r="G200" s="48"/>
      <x:c r="H200" s="48"/>
      <x:c r="I200" s="48"/>
      <x:c r="J200" s="48"/>
      <x:c r="K200" s="48"/>
      <x:c r="L200" s="48"/>
      <x:c r="M200" s="48"/>
      <x:c r="N200" s="48"/>
      <x:c r="O200" s="48"/>
      <x:c r="P200" s="48"/>
      <x:c r="Q200" s="48"/>
      <x:c r="R200" s="48"/>
      <x:c r="S200" s="48"/>
      <x:c r="T200" s="48"/>
      <x:c r="U200" s="48"/>
      <x:c r="V200" s="48"/>
      <x:c r="W200" s="48"/>
      <x:c r="X200" s="48"/>
      <x:c r="Y200" s="48"/>
      <x:c r="Z200" s="48"/>
    </x:row>
  </x:sheetData>
  <x:conditionalFormatting sqref="C2:J100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2">
    <x:dataValidation operator="between" sqref="C2:J200">
      <x:formula1>0</x:formula1>
      <x:formula2>100</x:formula2>
    </x:dataValidation>
    <x:dataValidation type="list" sqref="K2:K200">
      <x:formula1>"RECALIBRATED_V1_1,WEB_RECHECKED,CALIBRATED,NEEDS_VERIFICATION,REVIEW_REQUIRED"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9154807c074c7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18" hidden="0" customWidth="1"/>
    <x:col min="4" max="4" width="58" hidden="0" customWidth="1"/>
    <x:col min="5" max="5" width="14" hidden="0" customWidth="1"/>
    <x:col min="6" max="6" width="32" hidden="0" customWidth="1"/>
    <x:col min="7" max="7" width="46" hidden="0" customWidth="1"/>
    <x:col min="8" max="8" width="46" hidden="0" customWidth="1"/>
    <x:col min="9" max="9" width="13" hidden="0" customWidth="1"/>
    <x:col min="10" max="10" width="58" hidden="0" customWidth="1"/>
    <x:col min="11" max="11" width="28" hidden="0" customWidth="1"/>
    <x:col min="12" max="12" width="24" hidden="0" customWidth="1"/>
    <x:col min="13" max="13" width="24" hidden="0" customWidth="1"/>
  </x:cols>
  <x:sheetData>
    <x:row r="1">
      <x:c r="A1" s="8" t="str">
        <x:v>product_id</x:v>
      </x:c>
      <x:c r="B1" s="8" t="str">
        <x:v>display_name</x:v>
      </x:c>
      <x:c r="C1" s="8" t="str">
        <x:v>attribute</x:v>
      </x:c>
      <x:c r="D1" s="8" t="str">
        <x:v>raw_evidence</x:v>
      </x:c>
      <x:c r="E1" s="8" t="str">
        <x:v>normalized_value</x:v>
      </x:c>
      <x:c r="F1" s="8" t="str">
        <x:v>source_type</x:v>
      </x:c>
      <x:c r="G1" s="8" t="str">
        <x:v>source_url</x:v>
      </x:c>
      <x:c r="H1" s="8" t="str">
        <x:v>secondary_source_url</x:v>
      </x:c>
      <x:c r="I1" s="8" t="str">
        <x:v>source_date</x:v>
      </x:c>
      <x:c r="J1" s="8" t="str">
        <x:v>normalization_reason</x:v>
      </x:c>
      <x:c r="K1" s="8" t="str">
        <x:v>reviewer</x:v>
      </x:c>
      <x:c r="L1" s="8" t="str">
        <x:v>evidence_status</x:v>
      </x:c>
      <x:c r="M1" s="8" t="str">
        <x:v>evidence_version</x:v>
      </x:c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49" t="str">
        <x:v>nike_pegasus_42</x:v>
      </x:c>
      <x:c r="B2" s="49" t="str">
        <x:v>Nike Pegasus 42</x:v>
      </x:c>
      <x:c r="C2" s="49" t="str">
        <x:v>daily</x:v>
      </x:c>
      <x:c r="D2" s="49" t="str">
        <x:v>RunRepeat: Daily 90 / Tempo 44 / Race 21 / Stability 84. Comfortable upper, versatile daily use; relatively heavy and limited performance bounce.</x:v>
      </x:c>
      <x:c r="E2" s="49" t="n">
        <x:v>90</x:v>
      </x:c>
      <x:c r="F2" s="49" t="str">
        <x:v>Tier B - Structured Independent Review</x:v>
      </x:c>
      <x:c r="G2" s="49" t="str">
        <x:v>https://runrepeat.com/nike-pegasus-42</x:v>
      </x:c>
      <x:c r="H2" s="49" t="str">
        <x:v>https://www.nike.com/kr/w/pegasus-running-shoes-37v7jz8nexhzy7ok</x:v>
      </x:c>
      <x:c r="I2" s="56" t="n">
        <x:v>46269</x:v>
      </x:c>
      <x:c r="J2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2" s="49" t="str">
        <x:v>GearMatch AI calibration v1.1</x:v>
      </x:c>
      <x:c r="L2" s="49" t="str">
        <x:v>RECALIBRATED</x:v>
      </x:c>
      <x:c r="M2" s="49" t="str">
        <x:v>product_norm_v1.1</x:v>
      </x:c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49" t="str">
        <x:v>nike_pegasus_42</x:v>
      </x:c>
      <x:c r="B3" s="49" t="str">
        <x:v>Nike Pegasus 42</x:v>
      </x:c>
      <x:c r="C3" s="49" t="str">
        <x:v>comfort</x:v>
      </x:c>
      <x:c r="D3" s="49" t="str">
        <x:v>RunRepeat: Daily 90 / Tempo 44 / Race 21 / Stability 84. Comfortable upper, versatile daily use; relatively heavy and limited performance bounce.</x:v>
      </x:c>
      <x:c r="E3" s="49" t="n">
        <x:v>75</x:v>
      </x:c>
      <x:c r="F3" s="49" t="str">
        <x:v>Tier B - Structured Independent Review</x:v>
      </x:c>
      <x:c r="G3" s="49" t="str">
        <x:v>https://runrepeat.com/nike-pegasus-42</x:v>
      </x:c>
      <x:c r="H3" s="49" t="str">
        <x:v>https://www.nike.com/kr/w/pegasus-running-shoes-37v7jz8nexhzy7ok</x:v>
      </x:c>
      <x:c r="I3" s="56" t="n">
        <x:v>46269</x:v>
      </x:c>
      <x:c r="J3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3" s="49" t="str">
        <x:v>GearMatch AI calibration v1.1</x:v>
      </x:c>
      <x:c r="L3" s="49" t="str">
        <x:v>RECALIBRATED</x:v>
      </x:c>
      <x:c r="M3" s="49" t="str">
        <x:v>product_norm_v1.1</x:v>
      </x:c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>
      <x:c r="A4" s="49" t="str">
        <x:v>nike_pegasus_42</x:v>
      </x:c>
      <x:c r="B4" s="49" t="str">
        <x:v>Nike Pegasus 42</x:v>
      </x:c>
      <x:c r="C4" s="49" t="str">
        <x:v>stability</x:v>
      </x:c>
      <x:c r="D4" s="49" t="str">
        <x:v>RunRepeat: Daily 90 / Tempo 44 / Race 21 / Stability 84. Comfortable upper, versatile daily use; relatively heavy and limited performance bounce.</x:v>
      </x:c>
      <x:c r="E4" s="49" t="n">
        <x:v>85</x:v>
      </x:c>
      <x:c r="F4" s="49" t="str">
        <x:v>Tier B - Structured Independent Review</x:v>
      </x:c>
      <x:c r="G4" s="49" t="str">
        <x:v>https://runrepeat.com/nike-pegasus-42</x:v>
      </x:c>
      <x:c r="H4" s="49" t="str">
        <x:v>https://www.nike.com/kr/w/pegasus-running-shoes-37v7jz8nexhzy7ok</x:v>
      </x:c>
      <x:c r="I4" s="56" t="n">
        <x:v>46269</x:v>
      </x:c>
      <x:c r="J4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4" s="49" t="str">
        <x:v>GearMatch AI calibration v1.1</x:v>
      </x:c>
      <x:c r="L4" s="49" t="str">
        <x:v>RECALIBRATED</x:v>
      </x:c>
      <x:c r="M4" s="49" t="str">
        <x:v>product_norm_v1.1</x:v>
      </x:c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>
      <x:c r="A5" s="49" t="str">
        <x:v>nike_pegasus_42</x:v>
      </x:c>
      <x:c r="B5" s="49" t="str">
        <x:v>Nike Pegasus 42</x:v>
      </x:c>
      <x:c r="C5" s="49" t="str">
        <x:v>responsiveness</x:v>
      </x:c>
      <x:c r="D5" s="49" t="str">
        <x:v>RunRepeat: Daily 90 / Tempo 44 / Race 21 / Stability 84. Comfortable upper, versatile daily use; relatively heavy and limited performance bounce.</x:v>
      </x:c>
      <x:c r="E5" s="49" t="n">
        <x:v>50</x:v>
      </x:c>
      <x:c r="F5" s="49" t="str">
        <x:v>Tier B - Structured Independent Review</x:v>
      </x:c>
      <x:c r="G5" s="49" t="str">
        <x:v>https://runrepeat.com/nike-pegasus-42</x:v>
      </x:c>
      <x:c r="H5" s="49" t="str">
        <x:v>https://www.nike.com/kr/w/pegasus-running-shoes-37v7jz8nexhzy7ok</x:v>
      </x:c>
      <x:c r="I5" s="56" t="n">
        <x:v>46269</x:v>
      </x:c>
      <x:c r="J5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5" s="49" t="str">
        <x:v>GearMatch AI calibration v1.1</x:v>
      </x:c>
      <x:c r="L5" s="49" t="str">
        <x:v>RECALIBRATED</x:v>
      </x:c>
      <x:c r="M5" s="49" t="str">
        <x:v>product_norm_v1.1</x:v>
      </x:c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>
      <x:c r="A6" s="49" t="str">
        <x:v>nike_pegasus_42</x:v>
      </x:c>
      <x:c r="B6" s="49" t="str">
        <x:v>Nike Pegasus 42</x:v>
      </x:c>
      <x:c r="C6" s="49" t="str">
        <x:v>long_run</x:v>
      </x:c>
      <x:c r="D6" s="49" t="str">
        <x:v>RunRepeat: Daily 90 / Tempo 44 / Race 21 / Stability 84. Comfortable upper, versatile daily use; relatively heavy and limited performance bounce.</x:v>
      </x:c>
      <x:c r="E6" s="49" t="n">
        <x:v>60</x:v>
      </x:c>
      <x:c r="F6" s="49" t="str">
        <x:v>Tier B - Structured Independent Review</x:v>
      </x:c>
      <x:c r="G6" s="49" t="str">
        <x:v>https://runrepeat.com/nike-pegasus-42</x:v>
      </x:c>
      <x:c r="H6" s="49" t="str">
        <x:v>https://www.nike.com/kr/w/pegasus-running-shoes-37v7jz8nexhzy7ok</x:v>
      </x:c>
      <x:c r="I6" s="56" t="n">
        <x:v>46269</x:v>
      </x:c>
      <x:c r="J6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6" s="49" t="str">
        <x:v>GearMatch AI calibration v1.1</x:v>
      </x:c>
      <x:c r="L6" s="49" t="str">
        <x:v>RECALIBRATED</x:v>
      </x:c>
      <x:c r="M6" s="49" t="str">
        <x:v>product_norm_v1.1</x:v>
      </x:c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>
      <x:c r="A7" s="49" t="str">
        <x:v>nike_pegasus_42</x:v>
      </x:c>
      <x:c r="B7" s="49" t="str">
        <x:v>Nike Pegasus 42</x:v>
      </x:c>
      <x:c r="C7" s="49" t="str">
        <x:v>speed</x:v>
      </x:c>
      <x:c r="D7" s="49" t="str">
        <x:v>RunRepeat: Daily 90 / Tempo 44 / Race 21 / Stability 84. Comfortable upper, versatile daily use; relatively heavy and limited performance bounce.</x:v>
      </x:c>
      <x:c r="E7" s="49" t="n">
        <x:v>45</x:v>
      </x:c>
      <x:c r="F7" s="49" t="str">
        <x:v>Tier B - Structured Independent Review</x:v>
      </x:c>
      <x:c r="G7" s="49" t="str">
        <x:v>https://runrepeat.com/nike-pegasus-42</x:v>
      </x:c>
      <x:c r="H7" s="49" t="str">
        <x:v>https://www.nike.com/kr/w/pegasus-running-shoes-37v7jz8nexhzy7ok</x:v>
      </x:c>
      <x:c r="I7" s="56" t="n">
        <x:v>46269</x:v>
      </x:c>
      <x:c r="J7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7" s="49" t="str">
        <x:v>GearMatch AI calibration v1.1</x:v>
      </x:c>
      <x:c r="L7" s="49" t="str">
        <x:v>RECALIBRATED</x:v>
      </x:c>
      <x:c r="M7" s="49" t="str">
        <x:v>product_norm_v1.1</x:v>
      </x:c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>
      <x:c r="A8" s="49" t="str">
        <x:v>nike_pegasus_42</x:v>
      </x:c>
      <x:c r="B8" s="49" t="str">
        <x:v>Nike Pegasus 42</x:v>
      </x:c>
      <x:c r="C8" s="49" t="str">
        <x:v>race</x:v>
      </x:c>
      <x:c r="D8" s="49" t="str">
        <x:v>RunRepeat: Daily 90 / Tempo 44 / Race 21 / Stability 84. Comfortable upper, versatile daily use; relatively heavy and limited performance bounce.</x:v>
      </x:c>
      <x:c r="E8" s="49" t="n">
        <x:v>20</x:v>
      </x:c>
      <x:c r="F8" s="49" t="str">
        <x:v>Tier B - Structured Independent Review</x:v>
      </x:c>
      <x:c r="G8" s="49" t="str">
        <x:v>https://runrepeat.com/nike-pegasus-42</x:v>
      </x:c>
      <x:c r="H8" s="49" t="str">
        <x:v>https://www.nike.com/kr/w/pegasus-running-shoes-37v7jz8nexhzy7ok</x:v>
      </x:c>
      <x:c r="I8" s="56" t="n">
        <x:v>46269</x:v>
      </x:c>
      <x:c r="J8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8" s="49" t="str">
        <x:v>GearMatch AI calibration v1.1</x:v>
      </x:c>
      <x:c r="L8" s="49" t="str">
        <x:v>RECALIBRATED</x:v>
      </x:c>
      <x:c r="M8" s="49" t="str">
        <x:v>product_norm_v1.1</x:v>
      </x:c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>
      <x:c r="A9" s="49" t="str">
        <x:v>nike_pegasus_42</x:v>
      </x:c>
      <x:c r="B9" s="49" t="str">
        <x:v>Nike Pegasus 42</x:v>
      </x:c>
      <x:c r="C9" s="49" t="str">
        <x:v>versatility</x:v>
      </x:c>
      <x:c r="D9" s="49" t="str">
        <x:v>RunRepeat: Daily 90 / Tempo 44 / Race 21 / Stability 84. Comfortable upper, versatile daily use; relatively heavy and limited performance bounce.</x:v>
      </x:c>
      <x:c r="E9" s="49" t="n">
        <x:v>75</x:v>
      </x:c>
      <x:c r="F9" s="49" t="str">
        <x:v>Tier B - Structured Independent Review</x:v>
      </x:c>
      <x:c r="G9" s="49" t="str">
        <x:v>https://runrepeat.com/nike-pegasus-42</x:v>
      </x:c>
      <x:c r="H9" s="49" t="str">
        <x:v>https://www.nike.com/kr/w/pegasus-running-shoes-37v7jz8nexhzy7ok</x:v>
      </x:c>
      <x:c r="I9" s="56" t="n">
        <x:v>46269</x:v>
      </x:c>
      <x:c r="J9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9" s="49" t="str">
        <x:v>GearMatch AI calibration v1.1</x:v>
      </x:c>
      <x:c r="L9" s="49" t="str">
        <x:v>RECALIBRATED</x:v>
      </x:c>
      <x:c r="M9" s="49" t="str">
        <x:v>product_norm_v1.1</x:v>
      </x:c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>
      <x:c r="A10" s="49" t="str">
        <x:v>saucony_ride_19</x:v>
      </x:c>
      <x:c r="B10" s="49" t="str">
        <x:v>Saucony Ride 19</x:v>
      </x:c>
      <x:c r="C10" s="49" t="str">
        <x:v>daily</x:v>
      </x:c>
      <x:c r="D10" s="49" t="str">
        <x:v>RunRepeat: Daily 92 / Tempo 73 / Race 56 / Stability 89. Strong energy return, generous cushioning and suitable for daily training/long runs.</x:v>
      </x:c>
      <x:c r="E10" s="49" t="n">
        <x:v>90</x:v>
      </x:c>
      <x:c r="F10" s="49" t="str">
        <x:v>Tier B - Structured Independent Review</x:v>
      </x:c>
      <x:c r="G10" s="49" t="str">
        <x:v>https://runrepeat.com/saucony-ride-19</x:v>
      </x:c>
      <x:c r="H10" s="49" t="str">
        <x:v>https://saucony.co.kr/category/%EB%9D%BC%EC%9D%B4%EB%93%9C/114</x:v>
      </x:c>
      <x:c r="I10" s="56" t="n">
        <x:v>46269</x:v>
      </x:c>
      <x:c r="J10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10" s="49" t="str">
        <x:v>GearMatch AI calibration v1.1</x:v>
      </x:c>
      <x:c r="L10" s="49" t="str">
        <x:v>RECALIBRATED</x:v>
      </x:c>
      <x:c r="M10" s="49" t="str">
        <x:v>product_norm_v1.1</x:v>
      </x:c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>
      <x:c r="A11" s="49" t="str">
        <x:v>saucony_ride_19</x:v>
      </x:c>
      <x:c r="B11" s="49" t="str">
        <x:v>Saucony Ride 19</x:v>
      </x:c>
      <x:c r="C11" s="49" t="str">
        <x:v>comfort</x:v>
      </x:c>
      <x:c r="D11" s="49" t="str">
        <x:v>RunRepeat: Daily 92 / Tempo 73 / Race 56 / Stability 89. Strong energy return, generous cushioning and suitable for daily training/long runs.</x:v>
      </x:c>
      <x:c r="E11" s="49" t="n">
        <x:v>85</x:v>
      </x:c>
      <x:c r="F11" s="49" t="str">
        <x:v>Tier B - Structured Independent Review</x:v>
      </x:c>
      <x:c r="G11" s="49" t="str">
        <x:v>https://runrepeat.com/saucony-ride-19</x:v>
      </x:c>
      <x:c r="H11" s="49" t="str">
        <x:v>https://saucony.co.kr/category/%EB%9D%BC%EC%9D%B4%EB%93%9C/114</x:v>
      </x:c>
      <x:c r="I11" s="56" t="n">
        <x:v>46269</x:v>
      </x:c>
      <x:c r="J11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11" s="49" t="str">
        <x:v>GearMatch AI calibration v1.1</x:v>
      </x:c>
      <x:c r="L11" s="49" t="str">
        <x:v>RECALIBRATED</x:v>
      </x:c>
      <x:c r="M11" s="49" t="str">
        <x:v>product_norm_v1.1</x:v>
      </x:c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>
      <x:c r="A12" s="49" t="str">
        <x:v>saucony_ride_19</x:v>
      </x:c>
      <x:c r="B12" s="49" t="str">
        <x:v>Saucony Ride 19</x:v>
      </x:c>
      <x:c r="C12" s="49" t="str">
        <x:v>stability</x:v>
      </x:c>
      <x:c r="D12" s="49" t="str">
        <x:v>RunRepeat: Daily 92 / Tempo 73 / Race 56 / Stability 89. Strong energy return, generous cushioning and suitable for daily training/long runs.</x:v>
      </x:c>
      <x:c r="E12" s="49" t="n">
        <x:v>90</x:v>
      </x:c>
      <x:c r="F12" s="49" t="str">
        <x:v>Tier B - Structured Independent Review</x:v>
      </x:c>
      <x:c r="G12" s="49" t="str">
        <x:v>https://runrepeat.com/saucony-ride-19</x:v>
      </x:c>
      <x:c r="H12" s="49" t="str">
        <x:v>https://saucony.co.kr/category/%EB%9D%BC%EC%9D%B4%EB%93%9C/114</x:v>
      </x:c>
      <x:c r="I12" s="56" t="n">
        <x:v>46269</x:v>
      </x:c>
      <x:c r="J12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12" s="49" t="str">
        <x:v>GearMatch AI calibration v1.1</x:v>
      </x:c>
      <x:c r="L12" s="49" t="str">
        <x:v>RECALIBRATED</x:v>
      </x:c>
      <x:c r="M12" s="49" t="str">
        <x:v>product_norm_v1.1</x:v>
      </x:c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>
      <x:c r="A13" s="49" t="str">
        <x:v>saucony_ride_19</x:v>
      </x:c>
      <x:c r="B13" s="49" t="str">
        <x:v>Saucony Ride 19</x:v>
      </x:c>
      <x:c r="C13" s="49" t="str">
        <x:v>responsiveness</x:v>
      </x:c>
      <x:c r="D13" s="49" t="str">
        <x:v>RunRepeat: Daily 92 / Tempo 73 / Race 56 / Stability 89. Strong energy return, generous cushioning and suitable for daily training/long runs.</x:v>
      </x:c>
      <x:c r="E13" s="49" t="n">
        <x:v>70</x:v>
      </x:c>
      <x:c r="F13" s="49" t="str">
        <x:v>Tier B - Structured Independent Review</x:v>
      </x:c>
      <x:c r="G13" s="49" t="str">
        <x:v>https://runrepeat.com/saucony-ride-19</x:v>
      </x:c>
      <x:c r="H13" s="49" t="str">
        <x:v>https://saucony.co.kr/category/%EB%9D%BC%EC%9D%B4%EB%93%9C/114</x:v>
      </x:c>
      <x:c r="I13" s="56" t="n">
        <x:v>46269</x:v>
      </x:c>
      <x:c r="J13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13" s="49" t="str">
        <x:v>GearMatch AI calibration v1.1</x:v>
      </x:c>
      <x:c r="L13" s="49" t="str">
        <x:v>RECALIBRATED</x:v>
      </x:c>
      <x:c r="M13" s="49" t="str">
        <x:v>product_norm_v1.1</x:v>
      </x:c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>
      <x:c r="A14" s="49" t="str">
        <x:v>saucony_ride_19</x:v>
      </x:c>
      <x:c r="B14" s="49" t="str">
        <x:v>Saucony Ride 19</x:v>
      </x:c>
      <x:c r="C14" s="49" t="str">
        <x:v>long_run</x:v>
      </x:c>
      <x:c r="D14" s="49" t="str">
        <x:v>RunRepeat: Daily 92 / Tempo 73 / Race 56 / Stability 89. Strong energy return, generous cushioning and suitable for daily training/long runs.</x:v>
      </x:c>
      <x:c r="E14" s="49" t="n">
        <x:v>85</x:v>
      </x:c>
      <x:c r="F14" s="49" t="str">
        <x:v>Tier B - Structured Independent Review</x:v>
      </x:c>
      <x:c r="G14" s="49" t="str">
        <x:v>https://runrepeat.com/saucony-ride-19</x:v>
      </x:c>
      <x:c r="H14" s="49" t="str">
        <x:v>https://saucony.co.kr/category/%EB%9D%BC%EC%9D%B4%EB%93%9C/114</x:v>
      </x:c>
      <x:c r="I14" s="56" t="n">
        <x:v>46269</x:v>
      </x:c>
      <x:c r="J14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14" s="49" t="str">
        <x:v>GearMatch AI calibration v1.1</x:v>
      </x:c>
      <x:c r="L14" s="49" t="str">
        <x:v>RECALIBRATED</x:v>
      </x:c>
      <x:c r="M14" s="49" t="str">
        <x:v>product_norm_v1.1</x:v>
      </x:c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49" t="str">
        <x:v>saucony_ride_19</x:v>
      </x:c>
      <x:c r="B15" s="49" t="str">
        <x:v>Saucony Ride 19</x:v>
      </x:c>
      <x:c r="C15" s="49" t="str">
        <x:v>speed</x:v>
      </x:c>
      <x:c r="D15" s="49" t="str">
        <x:v>RunRepeat: Daily 92 / Tempo 73 / Race 56 / Stability 89. Strong energy return, generous cushioning and suitable for daily training/long runs.</x:v>
      </x:c>
      <x:c r="E15" s="49" t="n">
        <x:v>60</x:v>
      </x:c>
      <x:c r="F15" s="49" t="str">
        <x:v>Tier B - Structured Independent Review</x:v>
      </x:c>
      <x:c r="G15" s="49" t="str">
        <x:v>https://runrepeat.com/saucony-ride-19</x:v>
      </x:c>
      <x:c r="H15" s="49" t="str">
        <x:v>https://saucony.co.kr/category/%EB%9D%BC%EC%9D%B4%EB%93%9C/114</x:v>
      </x:c>
      <x:c r="I15" s="56" t="n">
        <x:v>46269</x:v>
      </x:c>
      <x:c r="J15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15" s="49" t="str">
        <x:v>GearMatch AI calibration v1.1</x:v>
      </x:c>
      <x:c r="L15" s="49" t="str">
        <x:v>RECALIBRATED</x:v>
      </x:c>
      <x:c r="M15" s="49" t="str">
        <x:v>product_norm_v1.1</x:v>
      </x:c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49" t="str">
        <x:v>saucony_ride_19</x:v>
      </x:c>
      <x:c r="B16" s="49" t="str">
        <x:v>Saucony Ride 19</x:v>
      </x:c>
      <x:c r="C16" s="49" t="str">
        <x:v>race</x:v>
      </x:c>
      <x:c r="D16" s="49" t="str">
        <x:v>RunRepeat: Daily 92 / Tempo 73 / Race 56 / Stability 89. Strong energy return, generous cushioning and suitable for daily training/long runs.</x:v>
      </x:c>
      <x:c r="E16" s="49" t="n">
        <x:v>25</x:v>
      </x:c>
      <x:c r="F16" s="49" t="str">
        <x:v>Tier B - Structured Independent Review</x:v>
      </x:c>
      <x:c r="G16" s="49" t="str">
        <x:v>https://runrepeat.com/saucony-ride-19</x:v>
      </x:c>
      <x:c r="H16" s="49" t="str">
        <x:v>https://saucony.co.kr/category/%EB%9D%BC%EC%9D%B4%EB%93%9C/114</x:v>
      </x:c>
      <x:c r="I16" s="56" t="n">
        <x:v>46269</x:v>
      </x:c>
      <x:c r="J16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16" s="49" t="str">
        <x:v>GearMatch AI calibration v1.1</x:v>
      </x:c>
      <x:c r="L16" s="49" t="str">
        <x:v>RECALIBRATED</x:v>
      </x:c>
      <x:c r="M16" s="49" t="str">
        <x:v>product_norm_v1.1</x:v>
      </x:c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49" t="str">
        <x:v>saucony_ride_19</x:v>
      </x:c>
      <x:c r="B17" s="49" t="str">
        <x:v>Saucony Ride 19</x:v>
      </x:c>
      <x:c r="C17" s="49" t="str">
        <x:v>versatility</x:v>
      </x:c>
      <x:c r="D17" s="49" t="str">
        <x:v>RunRepeat: Daily 92 / Tempo 73 / Race 56 / Stability 89. Strong energy return, generous cushioning and suitable for daily training/long runs.</x:v>
      </x:c>
      <x:c r="E17" s="49" t="n">
        <x:v>85</x:v>
      </x:c>
      <x:c r="F17" s="49" t="str">
        <x:v>Tier B - Structured Independent Review</x:v>
      </x:c>
      <x:c r="G17" s="49" t="str">
        <x:v>https://runrepeat.com/saucony-ride-19</x:v>
      </x:c>
      <x:c r="H17" s="49" t="str">
        <x:v>https://saucony.co.kr/category/%EB%9D%BC%EC%9D%B4%EB%93%9C/114</x:v>
      </x:c>
      <x:c r="I17" s="56" t="n">
        <x:v>46269</x:v>
      </x:c>
      <x:c r="J17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17" s="49" t="str">
        <x:v>GearMatch AI calibration v1.1</x:v>
      </x:c>
      <x:c r="L17" s="49" t="str">
        <x:v>RECALIBRATED</x:v>
      </x:c>
      <x:c r="M17" s="49" t="str">
        <x:v>product_norm_v1.1</x:v>
      </x:c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49" t="str">
        <x:v>nb_1080_v15</x:v>
      </x:c>
      <x:c r="B18" s="49" t="str">
        <x:v>New Balance Fresh Foam X 1080 v15</x:v>
      </x:c>
      <x:c r="C18" s="49" t="str">
        <x:v>daily</x:v>
      </x:c>
      <x:c r="D18" s="49" t="str">
        <x:v>RunRepeat: Daily 94 / Tempo 75 / Race 57 / Stability 63. Ultra-plush comfort, high shock absorption and more energetic ride than prior version.</x:v>
      </x:c>
      <x:c r="E18" s="49" t="n">
        <x:v>95</x:v>
      </x:c>
      <x:c r="F18" s="49" t="str">
        <x:v>Tier B - Structured Independent Review</x:v>
      </x:c>
      <x:c r="G18" s="49" t="str">
        <x:v>https://runrepeat.com/new-balance-1080-v-15</x:v>
      </x:c>
      <x:c r="H18" s="49" t="str">
        <x:v>https://pay.nbkorea.com/product/productDetail.action?colCode=19&amp;styleCode=NBPFGS102T</x:v>
      </x:c>
      <x:c r="I18" s="56" t="n">
        <x:v>46269</x:v>
      </x:c>
      <x:c r="J18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18" s="49" t="str">
        <x:v>GearMatch AI calibration v1.1</x:v>
      </x:c>
      <x:c r="L18" s="49" t="str">
        <x:v>RECALIBRATED</x:v>
      </x:c>
      <x:c r="M18" s="49" t="str">
        <x:v>product_norm_v1.1</x:v>
      </x:c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49" t="str">
        <x:v>nb_1080_v15</x:v>
      </x:c>
      <x:c r="B19" s="49" t="str">
        <x:v>New Balance Fresh Foam X 1080 v15</x:v>
      </x:c>
      <x:c r="C19" s="49" t="str">
        <x:v>comfort</x:v>
      </x:c>
      <x:c r="D19" s="49" t="str">
        <x:v>RunRepeat: Daily 94 / Tempo 75 / Race 57 / Stability 63. Ultra-plush comfort, high shock absorption and more energetic ride than prior version.</x:v>
      </x:c>
      <x:c r="E19" s="49" t="n">
        <x:v>95</x:v>
      </x:c>
      <x:c r="F19" s="49" t="str">
        <x:v>Tier B - Structured Independent Review</x:v>
      </x:c>
      <x:c r="G19" s="49" t="str">
        <x:v>https://runrepeat.com/new-balance-1080-v-15</x:v>
      </x:c>
      <x:c r="H19" s="49" t="str">
        <x:v>https://pay.nbkorea.com/product/productDetail.action?colCode=19&amp;styleCode=NBPFGS102T</x:v>
      </x:c>
      <x:c r="I19" s="56" t="n">
        <x:v>46269</x:v>
      </x:c>
      <x:c r="J19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19" s="49" t="str">
        <x:v>GearMatch AI calibration v1.1</x:v>
      </x:c>
      <x:c r="L19" s="49" t="str">
        <x:v>RECALIBRATED</x:v>
      </x:c>
      <x:c r="M19" s="49" t="str">
        <x:v>product_norm_v1.1</x:v>
      </x:c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49" t="str">
        <x:v>nb_1080_v15</x:v>
      </x:c>
      <x:c r="B20" s="49" t="str">
        <x:v>New Balance Fresh Foam X 1080 v15</x:v>
      </x:c>
      <x:c r="C20" s="49" t="str">
        <x:v>stability</x:v>
      </x:c>
      <x:c r="D20" s="49" t="str">
        <x:v>RunRepeat: Daily 94 / Tempo 75 / Race 57 / Stability 63. Ultra-plush comfort, high shock absorption and more energetic ride than prior version.</x:v>
      </x:c>
      <x:c r="E20" s="49" t="n">
        <x:v>65</x:v>
      </x:c>
      <x:c r="F20" s="49" t="str">
        <x:v>Tier B - Structured Independent Review</x:v>
      </x:c>
      <x:c r="G20" s="49" t="str">
        <x:v>https://runrepeat.com/new-balance-1080-v-15</x:v>
      </x:c>
      <x:c r="H20" s="49" t="str">
        <x:v>https://pay.nbkorea.com/product/productDetail.action?colCode=19&amp;styleCode=NBPFGS102T</x:v>
      </x:c>
      <x:c r="I20" s="56" t="n">
        <x:v>46269</x:v>
      </x:c>
      <x:c r="J20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20" s="49" t="str">
        <x:v>GearMatch AI calibration v1.1</x:v>
      </x:c>
      <x:c r="L20" s="49" t="str">
        <x:v>RECALIBRATED</x:v>
      </x:c>
      <x:c r="M20" s="49" t="str">
        <x:v>product_norm_v1.1</x:v>
      </x:c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49" t="str">
        <x:v>nb_1080_v15</x:v>
      </x:c>
      <x:c r="B21" s="49" t="str">
        <x:v>New Balance Fresh Foam X 1080 v15</x:v>
      </x:c>
      <x:c r="C21" s="49" t="str">
        <x:v>responsiveness</x:v>
      </x:c>
      <x:c r="D21" s="49" t="str">
        <x:v>RunRepeat: Daily 94 / Tempo 75 / Race 57 / Stability 63. Ultra-plush comfort, high shock absorption and more energetic ride than prior version.</x:v>
      </x:c>
      <x:c r="E21" s="49" t="n">
        <x:v>80</x:v>
      </x:c>
      <x:c r="F21" s="49" t="str">
        <x:v>Tier B - Structured Independent Review</x:v>
      </x:c>
      <x:c r="G21" s="49" t="str">
        <x:v>https://runrepeat.com/new-balance-1080-v-15</x:v>
      </x:c>
      <x:c r="H21" s="49" t="str">
        <x:v>https://pay.nbkorea.com/product/productDetail.action?colCode=19&amp;styleCode=NBPFGS102T</x:v>
      </x:c>
      <x:c r="I21" s="56" t="n">
        <x:v>46269</x:v>
      </x:c>
      <x:c r="J21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21" s="49" t="str">
        <x:v>GearMatch AI calibration v1.1</x:v>
      </x:c>
      <x:c r="L21" s="49" t="str">
        <x:v>RECALIBRATED</x:v>
      </x:c>
      <x:c r="M21" s="49" t="str">
        <x:v>product_norm_v1.1</x:v>
      </x:c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49" t="str">
        <x:v>nb_1080_v15</x:v>
      </x:c>
      <x:c r="B22" s="49" t="str">
        <x:v>New Balance Fresh Foam X 1080 v15</x:v>
      </x:c>
      <x:c r="C22" s="49" t="str">
        <x:v>long_run</x:v>
      </x:c>
      <x:c r="D22" s="49" t="str">
        <x:v>RunRepeat: Daily 94 / Tempo 75 / Race 57 / Stability 63. Ultra-plush comfort, high shock absorption and more energetic ride than prior version.</x:v>
      </x:c>
      <x:c r="E22" s="49" t="n">
        <x:v>90</x:v>
      </x:c>
      <x:c r="F22" s="49" t="str">
        <x:v>Tier B - Structured Independent Review</x:v>
      </x:c>
      <x:c r="G22" s="49" t="str">
        <x:v>https://runrepeat.com/new-balance-1080-v-15</x:v>
      </x:c>
      <x:c r="H22" s="49" t="str">
        <x:v>https://pay.nbkorea.com/product/productDetail.action?colCode=19&amp;styleCode=NBPFGS102T</x:v>
      </x:c>
      <x:c r="I22" s="56" t="n">
        <x:v>46269</x:v>
      </x:c>
      <x:c r="J22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22" s="49" t="str">
        <x:v>GearMatch AI calibration v1.1</x:v>
      </x:c>
      <x:c r="L22" s="49" t="str">
        <x:v>RECALIBRATED</x:v>
      </x:c>
      <x:c r="M22" s="49" t="str">
        <x:v>product_norm_v1.1</x:v>
      </x:c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49" t="str">
        <x:v>nb_1080_v15</x:v>
      </x:c>
      <x:c r="B23" s="49" t="str">
        <x:v>New Balance Fresh Foam X 1080 v15</x:v>
      </x:c>
      <x:c r="C23" s="49" t="str">
        <x:v>speed</x:v>
      </x:c>
      <x:c r="D23" s="49" t="str">
        <x:v>RunRepeat: Daily 94 / Tempo 75 / Race 57 / Stability 63. Ultra-plush comfort, high shock absorption and more energetic ride than prior version.</x:v>
      </x:c>
      <x:c r="E23" s="49" t="n">
        <x:v>65</x:v>
      </x:c>
      <x:c r="F23" s="49" t="str">
        <x:v>Tier B - Structured Independent Review</x:v>
      </x:c>
      <x:c r="G23" s="49" t="str">
        <x:v>https://runrepeat.com/new-balance-1080-v-15</x:v>
      </x:c>
      <x:c r="H23" s="49" t="str">
        <x:v>https://pay.nbkorea.com/product/productDetail.action?colCode=19&amp;styleCode=NBPFGS102T</x:v>
      </x:c>
      <x:c r="I23" s="56" t="n">
        <x:v>46269</x:v>
      </x:c>
      <x:c r="J23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23" s="49" t="str">
        <x:v>GearMatch AI calibration v1.1</x:v>
      </x:c>
      <x:c r="L23" s="49" t="str">
        <x:v>RECALIBRATED</x:v>
      </x:c>
      <x:c r="M23" s="49" t="str">
        <x:v>product_norm_v1.1</x:v>
      </x:c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49" t="str">
        <x:v>nb_1080_v15</x:v>
      </x:c>
      <x:c r="B24" s="49" t="str">
        <x:v>New Balance Fresh Foam X 1080 v15</x:v>
      </x:c>
      <x:c r="C24" s="49" t="str">
        <x:v>race</x:v>
      </x:c>
      <x:c r="D24" s="49" t="str">
        <x:v>RunRepeat: Daily 94 / Tempo 75 / Race 57 / Stability 63. Ultra-plush comfort, high shock absorption and more energetic ride than prior version.</x:v>
      </x:c>
      <x:c r="E24" s="49" t="n">
        <x:v>25</x:v>
      </x:c>
      <x:c r="F24" s="49" t="str">
        <x:v>Tier B - Structured Independent Review</x:v>
      </x:c>
      <x:c r="G24" s="49" t="str">
        <x:v>https://runrepeat.com/new-balance-1080-v-15</x:v>
      </x:c>
      <x:c r="H24" s="49" t="str">
        <x:v>https://pay.nbkorea.com/product/productDetail.action?colCode=19&amp;styleCode=NBPFGS102T</x:v>
      </x:c>
      <x:c r="I24" s="56" t="n">
        <x:v>46269</x:v>
      </x:c>
      <x:c r="J24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24" s="49" t="str">
        <x:v>GearMatch AI calibration v1.1</x:v>
      </x:c>
      <x:c r="L24" s="49" t="str">
        <x:v>RECALIBRATED</x:v>
      </x:c>
      <x:c r="M24" s="49" t="str">
        <x:v>product_norm_v1.1</x:v>
      </x:c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49" t="str">
        <x:v>nb_1080_v15</x:v>
      </x:c>
      <x:c r="B25" s="49" t="str">
        <x:v>New Balance Fresh Foam X 1080 v15</x:v>
      </x:c>
      <x:c r="C25" s="49" t="str">
        <x:v>versatility</x:v>
      </x:c>
      <x:c r="D25" s="49" t="str">
        <x:v>RunRepeat: Daily 94 / Tempo 75 / Race 57 / Stability 63. Ultra-plush comfort, high shock absorption and more energetic ride than prior version.</x:v>
      </x:c>
      <x:c r="E25" s="49" t="n">
        <x:v>80</x:v>
      </x:c>
      <x:c r="F25" s="49" t="str">
        <x:v>Tier B - Structured Independent Review</x:v>
      </x:c>
      <x:c r="G25" s="49" t="str">
        <x:v>https://runrepeat.com/new-balance-1080-v-15</x:v>
      </x:c>
      <x:c r="H25" s="49" t="str">
        <x:v>https://pay.nbkorea.com/product/productDetail.action?colCode=19&amp;styleCode=NBPFGS102T</x:v>
      </x:c>
      <x:c r="I25" s="56" t="n">
        <x:v>46269</x:v>
      </x:c>
      <x:c r="J25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25" s="49" t="str">
        <x:v>GearMatch AI calibration v1.1</x:v>
      </x:c>
      <x:c r="L25" s="49" t="str">
        <x:v>RECALIBRATED</x:v>
      </x:c>
      <x:c r="M25" s="49" t="str">
        <x:v>product_norm_v1.1</x:v>
      </x:c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49" t="str">
        <x:v>nb_860_v15</x:v>
      </x:c>
      <x:c r="B26" s="49" t="str">
        <x:v>New Balance Fresh Foam X 860 v15</x:v>
      </x:c>
      <x:c r="C26" s="49" t="str">
        <x:v>daily</x:v>
      </x:c>
      <x:c r="D26" s="49" t="str">
        <x:v>RunRepeat: Daily 86 / Tempo 45 / Race 25 / Stability 86. Plush comfort, subtle stability, heavy weight; enough protection for daily to long runs.</x:v>
      </x:c>
      <x:c r="E26" s="49" t="n">
        <x:v>85</x:v>
      </x:c>
      <x:c r="F26" s="49" t="str">
        <x:v>Tier B - Structured Independent Review</x:v>
      </x:c>
      <x:c r="G26" s="49" t="str">
        <x:v>https://runrepeat.com/new-balance-fresh-foam-x-860-v-15</x:v>
      </x:c>
      <x:c r="H26" s="49" t="str">
        <x:v>https://pay.nbkorea.com/product/productDetail.action?colCode=19&amp;styleCode=NBPFGS109K</x:v>
      </x:c>
      <x:c r="I26" s="56" t="n">
        <x:v>46269</x:v>
      </x:c>
      <x:c r="J26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26" s="49" t="str">
        <x:v>GearMatch AI calibration v1.1</x:v>
      </x:c>
      <x:c r="L26" s="49" t="str">
        <x:v>RECALIBRATED</x:v>
      </x:c>
      <x:c r="M26" s="49" t="str">
        <x:v>product_norm_v1.1</x:v>
      </x:c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49" t="str">
        <x:v>nb_860_v15</x:v>
      </x:c>
      <x:c r="B27" s="49" t="str">
        <x:v>New Balance Fresh Foam X 860 v15</x:v>
      </x:c>
      <x:c r="C27" s="49" t="str">
        <x:v>comfort</x:v>
      </x:c>
      <x:c r="D27" s="49" t="str">
        <x:v>RunRepeat: Daily 86 / Tempo 45 / Race 25 / Stability 86. Plush comfort, subtle stability, heavy weight; enough protection for daily to long runs.</x:v>
      </x:c>
      <x:c r="E27" s="49" t="n">
        <x:v>90</x:v>
      </x:c>
      <x:c r="F27" s="49" t="str">
        <x:v>Tier B - Structured Independent Review</x:v>
      </x:c>
      <x:c r="G27" s="49" t="str">
        <x:v>https://runrepeat.com/new-balance-fresh-foam-x-860-v-15</x:v>
      </x:c>
      <x:c r="H27" s="49" t="str">
        <x:v>https://pay.nbkorea.com/product/productDetail.action?colCode=19&amp;styleCode=NBPFGS109K</x:v>
      </x:c>
      <x:c r="I27" s="56" t="n">
        <x:v>46269</x:v>
      </x:c>
      <x:c r="J27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27" s="49" t="str">
        <x:v>GearMatch AI calibration v1.1</x:v>
      </x:c>
      <x:c r="L27" s="49" t="str">
        <x:v>RECALIBRATED</x:v>
      </x:c>
      <x:c r="M27" s="49" t="str">
        <x:v>product_norm_v1.1</x:v>
      </x:c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49" t="str">
        <x:v>nb_860_v15</x:v>
      </x:c>
      <x:c r="B28" s="49" t="str">
        <x:v>New Balance Fresh Foam X 860 v15</x:v>
      </x:c>
      <x:c r="C28" s="49" t="str">
        <x:v>stability</x:v>
      </x:c>
      <x:c r="D28" s="49" t="str">
        <x:v>RunRepeat: Daily 86 / Tempo 45 / Race 25 / Stability 86. Plush comfort, subtle stability, heavy weight; enough protection for daily to long runs.</x:v>
      </x:c>
      <x:c r="E28" s="49" t="n">
        <x:v>85</x:v>
      </x:c>
      <x:c r="F28" s="49" t="str">
        <x:v>Tier B - Structured Independent Review</x:v>
      </x:c>
      <x:c r="G28" s="49" t="str">
        <x:v>https://runrepeat.com/new-balance-fresh-foam-x-860-v-15</x:v>
      </x:c>
      <x:c r="H28" s="49" t="str">
        <x:v>https://pay.nbkorea.com/product/productDetail.action?colCode=19&amp;styleCode=NBPFGS109K</x:v>
      </x:c>
      <x:c r="I28" s="56" t="n">
        <x:v>46269</x:v>
      </x:c>
      <x:c r="J28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28" s="49" t="str">
        <x:v>GearMatch AI calibration v1.1</x:v>
      </x:c>
      <x:c r="L28" s="49" t="str">
        <x:v>RECALIBRATED</x:v>
      </x:c>
      <x:c r="M28" s="49" t="str">
        <x:v>product_norm_v1.1</x:v>
      </x:c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49" t="str">
        <x:v>nb_860_v15</x:v>
      </x:c>
      <x:c r="B29" s="49" t="str">
        <x:v>New Balance Fresh Foam X 860 v15</x:v>
      </x:c>
      <x:c r="C29" s="49" t="str">
        <x:v>responsiveness</x:v>
      </x:c>
      <x:c r="D29" s="49" t="str">
        <x:v>RunRepeat: Daily 86 / Tempo 45 / Race 25 / Stability 86. Plush comfort, subtle stability, heavy weight; enough protection for daily to long runs.</x:v>
      </x:c>
      <x:c r="E29" s="49" t="n">
        <x:v>55</x:v>
      </x:c>
      <x:c r="F29" s="49" t="str">
        <x:v>Tier B - Structured Independent Review</x:v>
      </x:c>
      <x:c r="G29" s="49" t="str">
        <x:v>https://runrepeat.com/new-balance-fresh-foam-x-860-v-15</x:v>
      </x:c>
      <x:c r="H29" s="49" t="str">
        <x:v>https://pay.nbkorea.com/product/productDetail.action?colCode=19&amp;styleCode=NBPFGS109K</x:v>
      </x:c>
      <x:c r="I29" s="56" t="n">
        <x:v>46269</x:v>
      </x:c>
      <x:c r="J29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29" s="49" t="str">
        <x:v>GearMatch AI calibration v1.1</x:v>
      </x:c>
      <x:c r="L29" s="49" t="str">
        <x:v>RECALIBRATED</x:v>
      </x:c>
      <x:c r="M29" s="49" t="str">
        <x:v>product_norm_v1.1</x:v>
      </x:c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49" t="str">
        <x:v>nb_860_v15</x:v>
      </x:c>
      <x:c r="B30" s="49" t="str">
        <x:v>New Balance Fresh Foam X 860 v15</x:v>
      </x:c>
      <x:c r="C30" s="49" t="str">
        <x:v>long_run</x:v>
      </x:c>
      <x:c r="D30" s="49" t="str">
        <x:v>RunRepeat: Daily 86 / Tempo 45 / Race 25 / Stability 86. Plush comfort, subtle stability, heavy weight; enough protection for daily to long runs.</x:v>
      </x:c>
      <x:c r="E30" s="49" t="n">
        <x:v>80</x:v>
      </x:c>
      <x:c r="F30" s="49" t="str">
        <x:v>Tier B - Structured Independent Review</x:v>
      </x:c>
      <x:c r="G30" s="49" t="str">
        <x:v>https://runrepeat.com/new-balance-fresh-foam-x-860-v-15</x:v>
      </x:c>
      <x:c r="H30" s="49" t="str">
        <x:v>https://pay.nbkorea.com/product/productDetail.action?colCode=19&amp;styleCode=NBPFGS109K</x:v>
      </x:c>
      <x:c r="I30" s="56" t="n">
        <x:v>46269</x:v>
      </x:c>
      <x:c r="J30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30" s="49" t="str">
        <x:v>GearMatch AI calibration v1.1</x:v>
      </x:c>
      <x:c r="L30" s="49" t="str">
        <x:v>RECALIBRATED</x:v>
      </x:c>
      <x:c r="M30" s="49" t="str">
        <x:v>product_norm_v1.1</x:v>
      </x:c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49" t="str">
        <x:v>nb_860_v15</x:v>
      </x:c>
      <x:c r="B31" s="49" t="str">
        <x:v>New Balance Fresh Foam X 860 v15</x:v>
      </x:c>
      <x:c r="C31" s="49" t="str">
        <x:v>speed</x:v>
      </x:c>
      <x:c r="D31" s="49" t="str">
        <x:v>RunRepeat: Daily 86 / Tempo 45 / Race 25 / Stability 86. Plush comfort, subtle stability, heavy weight; enough protection for daily to long runs.</x:v>
      </x:c>
      <x:c r="E31" s="49" t="n">
        <x:v>35</x:v>
      </x:c>
      <x:c r="F31" s="49" t="str">
        <x:v>Tier B - Structured Independent Review</x:v>
      </x:c>
      <x:c r="G31" s="49" t="str">
        <x:v>https://runrepeat.com/new-balance-fresh-foam-x-860-v-15</x:v>
      </x:c>
      <x:c r="H31" s="49" t="str">
        <x:v>https://pay.nbkorea.com/product/productDetail.action?colCode=19&amp;styleCode=NBPFGS109K</x:v>
      </x:c>
      <x:c r="I31" s="56" t="n">
        <x:v>46269</x:v>
      </x:c>
      <x:c r="J31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31" s="49" t="str">
        <x:v>GearMatch AI calibration v1.1</x:v>
      </x:c>
      <x:c r="L31" s="49" t="str">
        <x:v>RECALIBRATED</x:v>
      </x:c>
      <x:c r="M31" s="49" t="str">
        <x:v>product_norm_v1.1</x:v>
      </x:c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49" t="str">
        <x:v>nb_860_v15</x:v>
      </x:c>
      <x:c r="B32" s="49" t="str">
        <x:v>New Balance Fresh Foam X 860 v15</x:v>
      </x:c>
      <x:c r="C32" s="49" t="str">
        <x:v>race</x:v>
      </x:c>
      <x:c r="D32" s="49" t="str">
        <x:v>RunRepeat: Daily 86 / Tempo 45 / Race 25 / Stability 86. Plush comfort, subtle stability, heavy weight; enough protection for daily to long runs.</x:v>
      </x:c>
      <x:c r="E32" s="49" t="n">
        <x:v>15</x:v>
      </x:c>
      <x:c r="F32" s="49" t="str">
        <x:v>Tier B - Structured Independent Review</x:v>
      </x:c>
      <x:c r="G32" s="49" t="str">
        <x:v>https://runrepeat.com/new-balance-fresh-foam-x-860-v-15</x:v>
      </x:c>
      <x:c r="H32" s="49" t="str">
        <x:v>https://pay.nbkorea.com/product/productDetail.action?colCode=19&amp;styleCode=NBPFGS109K</x:v>
      </x:c>
      <x:c r="I32" s="56" t="n">
        <x:v>46269</x:v>
      </x:c>
      <x:c r="J32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32" s="49" t="str">
        <x:v>GearMatch AI calibration v1.1</x:v>
      </x:c>
      <x:c r="L32" s="49" t="str">
        <x:v>RECALIBRATED</x:v>
      </x:c>
      <x:c r="M32" s="49" t="str">
        <x:v>product_norm_v1.1</x:v>
      </x:c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49" t="str">
        <x:v>nb_860_v15</x:v>
      </x:c>
      <x:c r="B33" s="49" t="str">
        <x:v>New Balance Fresh Foam X 860 v15</x:v>
      </x:c>
      <x:c r="C33" s="49" t="str">
        <x:v>versatility</x:v>
      </x:c>
      <x:c r="D33" s="49" t="str">
        <x:v>RunRepeat: Daily 86 / Tempo 45 / Race 25 / Stability 86. Plush comfort, subtle stability, heavy weight; enough protection for daily to long runs.</x:v>
      </x:c>
      <x:c r="E33" s="49" t="n">
        <x:v>65</x:v>
      </x:c>
      <x:c r="F33" s="49" t="str">
        <x:v>Tier B - Structured Independent Review</x:v>
      </x:c>
      <x:c r="G33" s="49" t="str">
        <x:v>https://runrepeat.com/new-balance-fresh-foam-x-860-v-15</x:v>
      </x:c>
      <x:c r="H33" s="49" t="str">
        <x:v>https://pay.nbkorea.com/product/productDetail.action?colCode=19&amp;styleCode=NBPFGS109K</x:v>
      </x:c>
      <x:c r="I33" s="56" t="n">
        <x:v>46269</x:v>
      </x:c>
      <x:c r="J33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33" s="49" t="str">
        <x:v>GearMatch AI calibration v1.1</x:v>
      </x:c>
      <x:c r="L33" s="49" t="str">
        <x:v>RECALIBRATED</x:v>
      </x:c>
      <x:c r="M33" s="49" t="str">
        <x:v>product_norm_v1.1</x:v>
      </x:c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49" t="str">
        <x:v>asics_gel_nimbus_28</x:v>
      </x:c>
      <x:c r="B34" s="49" t="str">
        <x:v>ASICS GEL-NIMBUS 28</x:v>
      </x:c>
      <x:c r="C34" s="49" t="str">
        <x:v>daily</x:v>
      </x:c>
      <x:c r="D34" s="49" t="str">
        <x:v>RunRepeat: Daily 91 / Tempo 52 / Race 37 / Stability 87. Excellent step-in comfort and shock absorption, ideal for easy runs; poor energy return.</x:v>
      </x:c>
      <x:c r="E34" s="49" t="n">
        <x:v>90</x:v>
      </x:c>
      <x:c r="F34" s="49" t="str">
        <x:v>Tier B - Structured Independent Review</x:v>
      </x:c>
      <x:c r="G34" s="49" t="str">
        <x:v>https://runrepeat.com/asics-gel-nimbus-28</x:v>
      </x:c>
      <x:c r="H34" s="49" t="str">
        <x:v>https://www.asics.co.kr/c/m-running-shoes</x:v>
      </x:c>
      <x:c r="I34" s="56" t="n">
        <x:v>46269</x:v>
      </x:c>
      <x:c r="J34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34" s="49" t="str">
        <x:v>GearMatch AI calibration v1.1</x:v>
      </x:c>
      <x:c r="L34" s="49" t="str">
        <x:v>RECALIBRATED</x:v>
      </x:c>
      <x:c r="M34" s="49" t="str">
        <x:v>product_norm_v1.1</x:v>
      </x:c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49" t="str">
        <x:v>asics_gel_nimbus_28</x:v>
      </x:c>
      <x:c r="B35" s="49" t="str">
        <x:v>ASICS GEL-NIMBUS 28</x:v>
      </x:c>
      <x:c r="C35" s="49" t="str">
        <x:v>comfort</x:v>
      </x:c>
      <x:c r="D35" s="49" t="str">
        <x:v>RunRepeat: Daily 91 / Tempo 52 / Race 37 / Stability 87. Excellent step-in comfort and shock absorption, ideal for easy runs; poor energy return.</x:v>
      </x:c>
      <x:c r="E35" s="49" t="n">
        <x:v>95</x:v>
      </x:c>
      <x:c r="F35" s="49" t="str">
        <x:v>Tier B - Structured Independent Review</x:v>
      </x:c>
      <x:c r="G35" s="49" t="str">
        <x:v>https://runrepeat.com/asics-gel-nimbus-28</x:v>
      </x:c>
      <x:c r="H35" s="49" t="str">
        <x:v>https://www.asics.co.kr/c/m-running-shoes</x:v>
      </x:c>
      <x:c r="I35" s="56" t="n">
        <x:v>46269</x:v>
      </x:c>
      <x:c r="J35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35" s="49" t="str">
        <x:v>GearMatch AI calibration v1.1</x:v>
      </x:c>
      <x:c r="L35" s="49" t="str">
        <x:v>RECALIBRATED</x:v>
      </x:c>
      <x:c r="M35" s="49" t="str">
        <x:v>product_norm_v1.1</x:v>
      </x:c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49" t="str">
        <x:v>asics_gel_nimbus_28</x:v>
      </x:c>
      <x:c r="B36" s="49" t="str">
        <x:v>ASICS GEL-NIMBUS 28</x:v>
      </x:c>
      <x:c r="C36" s="49" t="str">
        <x:v>stability</x:v>
      </x:c>
      <x:c r="D36" s="49" t="str">
        <x:v>RunRepeat: Daily 91 / Tempo 52 / Race 37 / Stability 87. Excellent step-in comfort and shock absorption, ideal for easy runs; poor energy return.</x:v>
      </x:c>
      <x:c r="E36" s="49" t="n">
        <x:v>85</x:v>
      </x:c>
      <x:c r="F36" s="49" t="str">
        <x:v>Tier B - Structured Independent Review</x:v>
      </x:c>
      <x:c r="G36" s="49" t="str">
        <x:v>https://runrepeat.com/asics-gel-nimbus-28</x:v>
      </x:c>
      <x:c r="H36" s="49" t="str">
        <x:v>https://www.asics.co.kr/c/m-running-shoes</x:v>
      </x:c>
      <x:c r="I36" s="56" t="n">
        <x:v>46269</x:v>
      </x:c>
      <x:c r="J36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36" s="49" t="str">
        <x:v>GearMatch AI calibration v1.1</x:v>
      </x:c>
      <x:c r="L36" s="49" t="str">
        <x:v>RECALIBRATED</x:v>
      </x:c>
      <x:c r="M36" s="49" t="str">
        <x:v>product_norm_v1.1</x:v>
      </x:c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49" t="str">
        <x:v>asics_gel_nimbus_28</x:v>
      </x:c>
      <x:c r="B37" s="49" t="str">
        <x:v>ASICS GEL-NIMBUS 28</x:v>
      </x:c>
      <x:c r="C37" s="49" t="str">
        <x:v>responsiveness</x:v>
      </x:c>
      <x:c r="D37" s="49" t="str">
        <x:v>RunRepeat: Daily 91 / Tempo 52 / Race 37 / Stability 87. Excellent step-in comfort and shock absorption, ideal for easy runs; poor energy return.</x:v>
      </x:c>
      <x:c r="E37" s="49" t="n">
        <x:v>40</x:v>
      </x:c>
      <x:c r="F37" s="49" t="str">
        <x:v>Tier B - Structured Independent Review</x:v>
      </x:c>
      <x:c r="G37" s="49" t="str">
        <x:v>https://runrepeat.com/asics-gel-nimbus-28</x:v>
      </x:c>
      <x:c r="H37" s="49" t="str">
        <x:v>https://www.asics.co.kr/c/m-running-shoes</x:v>
      </x:c>
      <x:c r="I37" s="56" t="n">
        <x:v>46269</x:v>
      </x:c>
      <x:c r="J37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37" s="49" t="str">
        <x:v>GearMatch AI calibration v1.1</x:v>
      </x:c>
      <x:c r="L37" s="49" t="str">
        <x:v>RECALIBRATED</x:v>
      </x:c>
      <x:c r="M37" s="49" t="str">
        <x:v>product_norm_v1.1</x:v>
      </x:c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49" t="str">
        <x:v>asics_gel_nimbus_28</x:v>
      </x:c>
      <x:c r="B38" s="49" t="str">
        <x:v>ASICS GEL-NIMBUS 28</x:v>
      </x:c>
      <x:c r="C38" s="49" t="str">
        <x:v>long_run</x:v>
      </x:c>
      <x:c r="D38" s="49" t="str">
        <x:v>RunRepeat: Daily 91 / Tempo 52 / Race 37 / Stability 87. Excellent step-in comfort and shock absorption, ideal for easy runs; poor energy return.</x:v>
      </x:c>
      <x:c r="E38" s="49" t="n">
        <x:v>90</x:v>
      </x:c>
      <x:c r="F38" s="49" t="str">
        <x:v>Tier B - Structured Independent Review</x:v>
      </x:c>
      <x:c r="G38" s="49" t="str">
        <x:v>https://runrepeat.com/asics-gel-nimbus-28</x:v>
      </x:c>
      <x:c r="H38" s="49" t="str">
        <x:v>https://www.asics.co.kr/c/m-running-shoes</x:v>
      </x:c>
      <x:c r="I38" s="56" t="n">
        <x:v>46269</x:v>
      </x:c>
      <x:c r="J38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38" s="49" t="str">
        <x:v>GearMatch AI calibration v1.1</x:v>
      </x:c>
      <x:c r="L38" s="49" t="str">
        <x:v>RECALIBRATED</x:v>
      </x:c>
      <x:c r="M38" s="49" t="str">
        <x:v>product_norm_v1.1</x:v>
      </x:c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49" t="str">
        <x:v>asics_gel_nimbus_28</x:v>
      </x:c>
      <x:c r="B39" s="49" t="str">
        <x:v>ASICS GEL-NIMBUS 28</x:v>
      </x:c>
      <x:c r="C39" s="49" t="str">
        <x:v>speed</x:v>
      </x:c>
      <x:c r="D39" s="49" t="str">
        <x:v>RunRepeat: Daily 91 / Tempo 52 / Race 37 / Stability 87. Excellent step-in comfort and shock absorption, ideal for easy runs; poor energy return.</x:v>
      </x:c>
      <x:c r="E39" s="49" t="n">
        <x:v>35</x:v>
      </x:c>
      <x:c r="F39" s="49" t="str">
        <x:v>Tier B - Structured Independent Review</x:v>
      </x:c>
      <x:c r="G39" s="49" t="str">
        <x:v>https://runrepeat.com/asics-gel-nimbus-28</x:v>
      </x:c>
      <x:c r="H39" s="49" t="str">
        <x:v>https://www.asics.co.kr/c/m-running-shoes</x:v>
      </x:c>
      <x:c r="I39" s="56" t="n">
        <x:v>46269</x:v>
      </x:c>
      <x:c r="J39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39" s="49" t="str">
        <x:v>GearMatch AI calibration v1.1</x:v>
      </x:c>
      <x:c r="L39" s="49" t="str">
        <x:v>RECALIBRATED</x:v>
      </x:c>
      <x:c r="M39" s="49" t="str">
        <x:v>product_norm_v1.1</x:v>
      </x:c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49" t="str">
        <x:v>asics_gel_nimbus_28</x:v>
      </x:c>
      <x:c r="B40" s="49" t="str">
        <x:v>ASICS GEL-NIMBUS 28</x:v>
      </x:c>
      <x:c r="C40" s="49" t="str">
        <x:v>race</x:v>
      </x:c>
      <x:c r="D40" s="49" t="str">
        <x:v>RunRepeat: Daily 91 / Tempo 52 / Race 37 / Stability 87. Excellent step-in comfort and shock absorption, ideal for easy runs; poor energy return.</x:v>
      </x:c>
      <x:c r="E40" s="49" t="n">
        <x:v>15</x:v>
      </x:c>
      <x:c r="F40" s="49" t="str">
        <x:v>Tier B - Structured Independent Review</x:v>
      </x:c>
      <x:c r="G40" s="49" t="str">
        <x:v>https://runrepeat.com/asics-gel-nimbus-28</x:v>
      </x:c>
      <x:c r="H40" s="49" t="str">
        <x:v>https://www.asics.co.kr/c/m-running-shoes</x:v>
      </x:c>
      <x:c r="I40" s="56" t="n">
        <x:v>46269</x:v>
      </x:c>
      <x:c r="J40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40" s="49" t="str">
        <x:v>GearMatch AI calibration v1.1</x:v>
      </x:c>
      <x:c r="L40" s="49" t="str">
        <x:v>RECALIBRATED</x:v>
      </x:c>
      <x:c r="M40" s="49" t="str">
        <x:v>product_norm_v1.1</x:v>
      </x:c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49" t="str">
        <x:v>asics_gel_nimbus_28</x:v>
      </x:c>
      <x:c r="B41" s="49" t="str">
        <x:v>ASICS GEL-NIMBUS 28</x:v>
      </x:c>
      <x:c r="C41" s="49" t="str">
        <x:v>versatility</x:v>
      </x:c>
      <x:c r="D41" s="49" t="str">
        <x:v>RunRepeat: Daily 91 / Tempo 52 / Race 37 / Stability 87. Excellent step-in comfort and shock absorption, ideal for easy runs; poor energy return.</x:v>
      </x:c>
      <x:c r="E41" s="49" t="n">
        <x:v>70</x:v>
      </x:c>
      <x:c r="F41" s="49" t="str">
        <x:v>Tier B - Structured Independent Review</x:v>
      </x:c>
      <x:c r="G41" s="49" t="str">
        <x:v>https://runrepeat.com/asics-gel-nimbus-28</x:v>
      </x:c>
      <x:c r="H41" s="49" t="str">
        <x:v>https://www.asics.co.kr/c/m-running-shoes</x:v>
      </x:c>
      <x:c r="I41" s="56" t="n">
        <x:v>46269</x:v>
      </x:c>
      <x:c r="J41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41" s="49" t="str">
        <x:v>GearMatch AI calibration v1.1</x:v>
      </x:c>
      <x:c r="L41" s="49" t="str">
        <x:v>RECALIBRATED</x:v>
      </x:c>
      <x:c r="M41" s="49" t="str">
        <x:v>product_norm_v1.1</x:v>
      </x:c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49" t="str">
        <x:v>saucony_endorphin_speed_5</x:v>
      </x:c>
      <x:c r="B42" s="49" t="str">
        <x:v>Saucony Endorphin Speed 5</x:v>
      </x:c>
      <x:c r="C42" s="49" t="str">
        <x:v>daily</x:v>
      </x:c>
      <x:c r="D42" s="49" t="str">
        <x:v>RunRepeat: Daily 84 / Tempo 94 / Race 89 / Stability 81. World-class energy return, versatile across daily miles, faster paces and racing.</x:v>
      </x:c>
      <x:c r="E42" s="49" t="n">
        <x:v>85</x:v>
      </x:c>
      <x:c r="F42" s="49" t="str">
        <x:v>Tier B - Structured Independent Review</x:v>
      </x:c>
      <x:c r="G42" s="49" t="str">
        <x:v>https://runrepeat.com/saucony-endorphin-speed-5</x:v>
      </x:c>
      <x:c r="H42" s="49" t="str">
        <x:v>https://saucony.co.kr/product/%EB%82%A8%EC%84%B1-%EC%97%94%EB%8F%8C%ED%95%80-%EC%8A%A4%ED%94%BC%EB%93%9C-5-%EC%99%80%EC%9D%B4%EB%93%9C-ivoryfire/217/</x:v>
      </x:c>
      <x:c r="I42" s="56" t="n">
        <x:v>46269</x:v>
      </x:c>
      <x:c r="J42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42" s="49" t="str">
        <x:v>GearMatch AI calibration v1.1</x:v>
      </x:c>
      <x:c r="L42" s="49" t="str">
        <x:v>RECALIBRATED</x:v>
      </x:c>
      <x:c r="M42" s="49" t="str">
        <x:v>product_norm_v1.1</x:v>
      </x:c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49" t="str">
        <x:v>saucony_endorphin_speed_5</x:v>
      </x:c>
      <x:c r="B43" s="49" t="str">
        <x:v>Saucony Endorphin Speed 5</x:v>
      </x:c>
      <x:c r="C43" s="49" t="str">
        <x:v>comfort</x:v>
      </x:c>
      <x:c r="D43" s="49" t="str">
        <x:v>RunRepeat: Daily 84 / Tempo 94 / Race 89 / Stability 81. World-class energy return, versatile across daily miles, faster paces and racing.</x:v>
      </x:c>
      <x:c r="E43" s="49" t="n">
        <x:v>80</x:v>
      </x:c>
      <x:c r="F43" s="49" t="str">
        <x:v>Tier B - Structured Independent Review</x:v>
      </x:c>
      <x:c r="G43" s="49" t="str">
        <x:v>https://runrepeat.com/saucony-endorphin-speed-5</x:v>
      </x:c>
      <x:c r="H43" s="49" t="str">
        <x:v>https://saucony.co.kr/product/%EB%82%A8%EC%84%B1-%EC%97%94%EB%8F%8C%ED%95%80-%EC%8A%A4%ED%94%BC%EB%93%9C-5-%EC%99%80%EC%9D%B4%EB%93%9C-ivoryfire/217/</x:v>
      </x:c>
      <x:c r="I43" s="56" t="n">
        <x:v>46269</x:v>
      </x:c>
      <x:c r="J43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43" s="49" t="str">
        <x:v>GearMatch AI calibration v1.1</x:v>
      </x:c>
      <x:c r="L43" s="49" t="str">
        <x:v>RECALIBRATED</x:v>
      </x:c>
      <x:c r="M43" s="49" t="str">
        <x:v>product_norm_v1.1</x:v>
      </x:c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49" t="str">
        <x:v>saucony_endorphin_speed_5</x:v>
      </x:c>
      <x:c r="B44" s="49" t="str">
        <x:v>Saucony Endorphin Speed 5</x:v>
      </x:c>
      <x:c r="C44" s="49" t="str">
        <x:v>stability</x:v>
      </x:c>
      <x:c r="D44" s="49" t="str">
        <x:v>RunRepeat: Daily 84 / Tempo 94 / Race 89 / Stability 81. World-class energy return, versatile across daily miles, faster paces and racing.</x:v>
      </x:c>
      <x:c r="E44" s="49" t="n">
        <x:v>80</x:v>
      </x:c>
      <x:c r="F44" s="49" t="str">
        <x:v>Tier B - Structured Independent Review</x:v>
      </x:c>
      <x:c r="G44" s="49" t="str">
        <x:v>https://runrepeat.com/saucony-endorphin-speed-5</x:v>
      </x:c>
      <x:c r="H44" s="49" t="str">
        <x:v>https://saucony.co.kr/product/%EB%82%A8%EC%84%B1-%EC%97%94%EB%8F%8C%ED%95%80-%EC%8A%A4%ED%94%BC%EB%93%9C-5-%EC%99%80%EC%9D%B4%EB%93%9C-ivoryfire/217/</x:v>
      </x:c>
      <x:c r="I44" s="56" t="n">
        <x:v>46269</x:v>
      </x:c>
      <x:c r="J44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44" s="49" t="str">
        <x:v>GearMatch AI calibration v1.1</x:v>
      </x:c>
      <x:c r="L44" s="49" t="str">
        <x:v>RECALIBRATED</x:v>
      </x:c>
      <x:c r="M44" s="49" t="str">
        <x:v>product_norm_v1.1</x:v>
      </x:c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49" t="str">
        <x:v>saucony_endorphin_speed_5</x:v>
      </x:c>
      <x:c r="B45" s="49" t="str">
        <x:v>Saucony Endorphin Speed 5</x:v>
      </x:c>
      <x:c r="C45" s="49" t="str">
        <x:v>responsiveness</x:v>
      </x:c>
      <x:c r="D45" s="49" t="str">
        <x:v>RunRepeat: Daily 84 / Tempo 94 / Race 89 / Stability 81. World-class energy return, versatile across daily miles, faster paces and racing.</x:v>
      </x:c>
      <x:c r="E45" s="49" t="n">
        <x:v>95</x:v>
      </x:c>
      <x:c r="F45" s="49" t="str">
        <x:v>Tier B - Structured Independent Review</x:v>
      </x:c>
      <x:c r="G45" s="49" t="str">
        <x:v>https://runrepeat.com/saucony-endorphin-speed-5</x:v>
      </x:c>
      <x:c r="H45" s="49" t="str">
        <x:v>https://saucony.co.kr/product/%EB%82%A8%EC%84%B1-%EC%97%94%EB%8F%8C%ED%95%80-%EC%8A%A4%ED%94%BC%EB%93%9C-5-%EC%99%80%EC%9D%B4%EB%93%9C-ivoryfire/217/</x:v>
      </x:c>
      <x:c r="I45" s="56" t="n">
        <x:v>46269</x:v>
      </x:c>
      <x:c r="J45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45" s="49" t="str">
        <x:v>GearMatch AI calibration v1.1</x:v>
      </x:c>
      <x:c r="L45" s="49" t="str">
        <x:v>RECALIBRATED</x:v>
      </x:c>
      <x:c r="M45" s="49" t="str">
        <x:v>product_norm_v1.1</x:v>
      </x:c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49" t="str">
        <x:v>saucony_endorphin_speed_5</x:v>
      </x:c>
      <x:c r="B46" s="49" t="str">
        <x:v>Saucony Endorphin Speed 5</x:v>
      </x:c>
      <x:c r="C46" s="49" t="str">
        <x:v>long_run</x:v>
      </x:c>
      <x:c r="D46" s="49" t="str">
        <x:v>RunRepeat: Daily 84 / Tempo 94 / Race 89 / Stability 81. World-class energy return, versatile across daily miles, faster paces and racing.</x:v>
      </x:c>
      <x:c r="E46" s="49" t="n">
        <x:v>80</x:v>
      </x:c>
      <x:c r="F46" s="49" t="str">
        <x:v>Tier B - Structured Independent Review</x:v>
      </x:c>
      <x:c r="G46" s="49" t="str">
        <x:v>https://runrepeat.com/saucony-endorphin-speed-5</x:v>
      </x:c>
      <x:c r="H46" s="49" t="str">
        <x:v>https://saucony.co.kr/product/%EB%82%A8%EC%84%B1-%EC%97%94%EB%8F%8C%ED%95%80-%EC%8A%A4%ED%94%BC%EB%93%9C-5-%EC%99%80%EC%9D%B4%EB%93%9C-ivoryfire/217/</x:v>
      </x:c>
      <x:c r="I46" s="56" t="n">
        <x:v>46269</x:v>
      </x:c>
      <x:c r="J46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46" s="49" t="str">
        <x:v>GearMatch AI calibration v1.1</x:v>
      </x:c>
      <x:c r="L46" s="49" t="str">
        <x:v>RECALIBRATED</x:v>
      </x:c>
      <x:c r="M46" s="49" t="str">
        <x:v>product_norm_v1.1</x:v>
      </x:c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49" t="str">
        <x:v>saucony_endorphin_speed_5</x:v>
      </x:c>
      <x:c r="B47" s="49" t="str">
        <x:v>Saucony Endorphin Speed 5</x:v>
      </x:c>
      <x:c r="C47" s="49" t="str">
        <x:v>speed</x:v>
      </x:c>
      <x:c r="D47" s="49" t="str">
        <x:v>RunRepeat: Daily 84 / Tempo 94 / Race 89 / Stability 81. World-class energy return, versatile across daily miles, faster paces and racing.</x:v>
      </x:c>
      <x:c r="E47" s="49" t="n">
        <x:v>95</x:v>
      </x:c>
      <x:c r="F47" s="49" t="str">
        <x:v>Tier B - Structured Independent Review</x:v>
      </x:c>
      <x:c r="G47" s="49" t="str">
        <x:v>https://runrepeat.com/saucony-endorphin-speed-5</x:v>
      </x:c>
      <x:c r="H47" s="49" t="str">
        <x:v>https://saucony.co.kr/product/%EB%82%A8%EC%84%B1-%EC%97%94%EB%8F%8C%ED%95%80-%EC%8A%A4%ED%94%BC%EB%93%9C-5-%EC%99%80%EC%9D%B4%EB%93%9C-ivoryfire/217/</x:v>
      </x:c>
      <x:c r="I47" s="56" t="n">
        <x:v>46269</x:v>
      </x:c>
      <x:c r="J47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47" s="49" t="str">
        <x:v>GearMatch AI calibration v1.1</x:v>
      </x:c>
      <x:c r="L47" s="49" t="str">
        <x:v>RECALIBRATED</x:v>
      </x:c>
      <x:c r="M47" s="49" t="str">
        <x:v>product_norm_v1.1</x:v>
      </x:c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49" t="str">
        <x:v>saucony_endorphin_speed_5</x:v>
      </x:c>
      <x:c r="B48" s="49" t="str">
        <x:v>Saucony Endorphin Speed 5</x:v>
      </x:c>
      <x:c r="C48" s="49" t="str">
        <x:v>race</x:v>
      </x:c>
      <x:c r="D48" s="49" t="str">
        <x:v>RunRepeat: Daily 84 / Tempo 94 / Race 89 / Stability 81. World-class energy return, versatile across daily miles, faster paces and racing.</x:v>
      </x:c>
      <x:c r="E48" s="49" t="n">
        <x:v>80</x:v>
      </x:c>
      <x:c r="F48" s="49" t="str">
        <x:v>Tier B - Structured Independent Review</x:v>
      </x:c>
      <x:c r="G48" s="49" t="str">
        <x:v>https://runrepeat.com/saucony-endorphin-speed-5</x:v>
      </x:c>
      <x:c r="H48" s="49" t="str">
        <x:v>https://saucony.co.kr/product/%EB%82%A8%EC%84%B1-%EC%97%94%EB%8F%8C%ED%95%80-%EC%8A%A4%ED%94%BC%EB%93%9C-5-%EC%99%80%EC%9D%B4%EB%93%9C-ivoryfire/217/</x:v>
      </x:c>
      <x:c r="I48" s="56" t="n">
        <x:v>46269</x:v>
      </x:c>
      <x:c r="J48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48" s="49" t="str">
        <x:v>GearMatch AI calibration v1.1</x:v>
      </x:c>
      <x:c r="L48" s="49" t="str">
        <x:v>RECALIBRATED</x:v>
      </x:c>
      <x:c r="M48" s="49" t="str">
        <x:v>product_norm_v1.1</x:v>
      </x:c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49" t="str">
        <x:v>saucony_endorphin_speed_5</x:v>
      </x:c>
      <x:c r="B49" s="49" t="str">
        <x:v>Saucony Endorphin Speed 5</x:v>
      </x:c>
      <x:c r="C49" s="49" t="str">
        <x:v>versatility</x:v>
      </x:c>
      <x:c r="D49" s="49" t="str">
        <x:v>RunRepeat: Daily 84 / Tempo 94 / Race 89 / Stability 81. World-class energy return, versatile across daily miles, faster paces and racing.</x:v>
      </x:c>
      <x:c r="E49" s="49" t="n">
        <x:v>90</x:v>
      </x:c>
      <x:c r="F49" s="49" t="str">
        <x:v>Tier B - Structured Independent Review</x:v>
      </x:c>
      <x:c r="G49" s="49" t="str">
        <x:v>https://runrepeat.com/saucony-endorphin-speed-5</x:v>
      </x:c>
      <x:c r="H49" s="49" t="str">
        <x:v>https://saucony.co.kr/product/%EB%82%A8%EC%84%B1-%EC%97%94%EB%8F%8C%ED%95%80-%EC%8A%A4%ED%94%BC%EB%93%9C-5-%EC%99%80%EC%9D%B4%EB%93%9C-ivoryfire/217/</x:v>
      </x:c>
      <x:c r="I49" s="56" t="n">
        <x:v>46269</x:v>
      </x:c>
      <x:c r="J49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49" s="49" t="str">
        <x:v>GearMatch AI calibration v1.1</x:v>
      </x:c>
      <x:c r="L49" s="49" t="str">
        <x:v>RECALIBRATED</x:v>
      </x:c>
      <x:c r="M49" s="49" t="str">
        <x:v>product_norm_v1.1</x:v>
      </x:c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49" t="str">
        <x:v>mizuno_rebellion_flash_3</x:v>
      </x:c>
      <x:c r="B50" s="49" t="str">
        <x:v>Mizuno Wave Rebellion Flash 3</x:v>
      </x:c>
      <x:c r="C50" s="49" t="str">
        <x:v>daily</x:v>
      </x:c>
      <x:c r="D50" s="49" t="str">
        <x:v>RunRepeat: Daily 83 / Tempo 88 / Race 76 / Stability 60. Responsive, outstanding shock absorption, versatile daily/tempo super-trainer; less stable.</x:v>
      </x:c>
      <x:c r="E50" s="49" t="n">
        <x:v>85</x:v>
      </x:c>
      <x:c r="F50" s="49" t="str">
        <x:v>Tier B - Structured Independent Review</x:v>
      </x:c>
      <x:c r="G50" s="49" t="str">
        <x:v>https://runrepeat.com/mizuno-wave-rebellion-flash-3</x:v>
      </x:c>
      <x:c r="H50" s="49" t="str">
        <x:v>https://kor.mizuno.com/product/wave-rebellion-flash-3/10737</x:v>
      </x:c>
      <x:c r="I50" s="56" t="n">
        <x:v>46269</x:v>
      </x:c>
      <x:c r="J50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50" s="49" t="str">
        <x:v>GearMatch AI calibration v1.1</x:v>
      </x:c>
      <x:c r="L50" s="49" t="str">
        <x:v>RECALIBRATED</x:v>
      </x:c>
      <x:c r="M50" s="49" t="str">
        <x:v>product_norm_v1.1</x:v>
      </x:c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49" t="str">
        <x:v>mizuno_rebellion_flash_3</x:v>
      </x:c>
      <x:c r="B51" s="49" t="str">
        <x:v>Mizuno Wave Rebellion Flash 3</x:v>
      </x:c>
      <x:c r="C51" s="49" t="str">
        <x:v>comfort</x:v>
      </x:c>
      <x:c r="D51" s="49" t="str">
        <x:v>RunRepeat: Daily 83 / Tempo 88 / Race 76 / Stability 60. Responsive, outstanding shock absorption, versatile daily/tempo super-trainer; less stable.</x:v>
      </x:c>
      <x:c r="E51" s="49" t="n">
        <x:v>75</x:v>
      </x:c>
      <x:c r="F51" s="49" t="str">
        <x:v>Tier B - Structured Independent Review</x:v>
      </x:c>
      <x:c r="G51" s="49" t="str">
        <x:v>https://runrepeat.com/mizuno-wave-rebellion-flash-3</x:v>
      </x:c>
      <x:c r="H51" s="49" t="str">
        <x:v>https://kor.mizuno.com/product/wave-rebellion-flash-3/10737</x:v>
      </x:c>
      <x:c r="I51" s="56" t="n">
        <x:v>46269</x:v>
      </x:c>
      <x:c r="J51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51" s="49" t="str">
        <x:v>GearMatch AI calibration v1.1</x:v>
      </x:c>
      <x:c r="L51" s="49" t="str">
        <x:v>RECALIBRATED</x:v>
      </x:c>
      <x:c r="M51" s="49" t="str">
        <x:v>product_norm_v1.1</x:v>
      </x:c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49" t="str">
        <x:v>mizuno_rebellion_flash_3</x:v>
      </x:c>
      <x:c r="B52" s="49" t="str">
        <x:v>Mizuno Wave Rebellion Flash 3</x:v>
      </x:c>
      <x:c r="C52" s="49" t="str">
        <x:v>stability</x:v>
      </x:c>
      <x:c r="D52" s="49" t="str">
        <x:v>RunRepeat: Daily 83 / Tempo 88 / Race 76 / Stability 60. Responsive, outstanding shock absorption, versatile daily/tempo super-trainer; less stable.</x:v>
      </x:c>
      <x:c r="E52" s="49" t="n">
        <x:v>60</x:v>
      </x:c>
      <x:c r="F52" s="49" t="str">
        <x:v>Tier B - Structured Independent Review</x:v>
      </x:c>
      <x:c r="G52" s="49" t="str">
        <x:v>https://runrepeat.com/mizuno-wave-rebellion-flash-3</x:v>
      </x:c>
      <x:c r="H52" s="49" t="str">
        <x:v>https://kor.mizuno.com/product/wave-rebellion-flash-3/10737</x:v>
      </x:c>
      <x:c r="I52" s="56" t="n">
        <x:v>46269</x:v>
      </x:c>
      <x:c r="J52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52" s="49" t="str">
        <x:v>GearMatch AI calibration v1.1</x:v>
      </x:c>
      <x:c r="L52" s="49" t="str">
        <x:v>RECALIBRATED</x:v>
      </x:c>
      <x:c r="M52" s="49" t="str">
        <x:v>product_norm_v1.1</x:v>
      </x:c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49" t="str">
        <x:v>mizuno_rebellion_flash_3</x:v>
      </x:c>
      <x:c r="B53" s="49" t="str">
        <x:v>Mizuno Wave Rebellion Flash 3</x:v>
      </x:c>
      <x:c r="C53" s="49" t="str">
        <x:v>responsiveness</x:v>
      </x:c>
      <x:c r="D53" s="49" t="str">
        <x:v>RunRepeat: Daily 83 / Tempo 88 / Race 76 / Stability 60. Responsive, outstanding shock absorption, versatile daily/tempo super-trainer; less stable.</x:v>
      </x:c>
      <x:c r="E53" s="49" t="n">
        <x:v>90</x:v>
      </x:c>
      <x:c r="F53" s="49" t="str">
        <x:v>Tier B - Structured Independent Review</x:v>
      </x:c>
      <x:c r="G53" s="49" t="str">
        <x:v>https://runrepeat.com/mizuno-wave-rebellion-flash-3</x:v>
      </x:c>
      <x:c r="H53" s="49" t="str">
        <x:v>https://kor.mizuno.com/product/wave-rebellion-flash-3/10737</x:v>
      </x:c>
      <x:c r="I53" s="56" t="n">
        <x:v>46269</x:v>
      </x:c>
      <x:c r="J53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53" s="49" t="str">
        <x:v>GearMatch AI calibration v1.1</x:v>
      </x:c>
      <x:c r="L53" s="49" t="str">
        <x:v>RECALIBRATED</x:v>
      </x:c>
      <x:c r="M53" s="49" t="str">
        <x:v>product_norm_v1.1</x:v>
      </x:c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49" t="str">
        <x:v>mizuno_rebellion_flash_3</x:v>
      </x:c>
      <x:c r="B54" s="49" t="str">
        <x:v>Mizuno Wave Rebellion Flash 3</x:v>
      </x:c>
      <x:c r="C54" s="49" t="str">
        <x:v>long_run</x:v>
      </x:c>
      <x:c r="D54" s="49" t="str">
        <x:v>RunRepeat: Daily 83 / Tempo 88 / Race 76 / Stability 60. Responsive, outstanding shock absorption, versatile daily/tempo super-trainer; less stable.</x:v>
      </x:c>
      <x:c r="E54" s="49" t="n">
        <x:v>80</x:v>
      </x:c>
      <x:c r="F54" s="49" t="str">
        <x:v>Tier B - Structured Independent Review</x:v>
      </x:c>
      <x:c r="G54" s="49" t="str">
        <x:v>https://runrepeat.com/mizuno-wave-rebellion-flash-3</x:v>
      </x:c>
      <x:c r="H54" s="49" t="str">
        <x:v>https://kor.mizuno.com/product/wave-rebellion-flash-3/10737</x:v>
      </x:c>
      <x:c r="I54" s="56" t="n">
        <x:v>46269</x:v>
      </x:c>
      <x:c r="J54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54" s="49" t="str">
        <x:v>GearMatch AI calibration v1.1</x:v>
      </x:c>
      <x:c r="L54" s="49" t="str">
        <x:v>RECALIBRATED</x:v>
      </x:c>
      <x:c r="M54" s="49" t="str">
        <x:v>product_norm_v1.1</x:v>
      </x:c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49" t="str">
        <x:v>mizuno_rebellion_flash_3</x:v>
      </x:c>
      <x:c r="B55" s="49" t="str">
        <x:v>Mizuno Wave Rebellion Flash 3</x:v>
      </x:c>
      <x:c r="C55" s="49" t="str">
        <x:v>speed</x:v>
      </x:c>
      <x:c r="D55" s="49" t="str">
        <x:v>RunRepeat: Daily 83 / Tempo 88 / Race 76 / Stability 60. Responsive, outstanding shock absorption, versatile daily/tempo super-trainer; less stable.</x:v>
      </x:c>
      <x:c r="E55" s="49" t="n">
        <x:v>90</x:v>
      </x:c>
      <x:c r="F55" s="49" t="str">
        <x:v>Tier B - Structured Independent Review</x:v>
      </x:c>
      <x:c r="G55" s="49" t="str">
        <x:v>https://runrepeat.com/mizuno-wave-rebellion-flash-3</x:v>
      </x:c>
      <x:c r="H55" s="49" t="str">
        <x:v>https://kor.mizuno.com/product/wave-rebellion-flash-3/10737</x:v>
      </x:c>
      <x:c r="I55" s="56" t="n">
        <x:v>46269</x:v>
      </x:c>
      <x:c r="J55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55" s="49" t="str">
        <x:v>GearMatch AI calibration v1.1</x:v>
      </x:c>
      <x:c r="L55" s="49" t="str">
        <x:v>RECALIBRATED</x:v>
      </x:c>
      <x:c r="M55" s="49" t="str">
        <x:v>product_norm_v1.1</x:v>
      </x:c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49" t="str">
        <x:v>mizuno_rebellion_flash_3</x:v>
      </x:c>
      <x:c r="B56" s="49" t="str">
        <x:v>Mizuno Wave Rebellion Flash 3</x:v>
      </x:c>
      <x:c r="C56" s="49" t="str">
        <x:v>race</x:v>
      </x:c>
      <x:c r="D56" s="49" t="str">
        <x:v>RunRepeat: Daily 83 / Tempo 88 / Race 76 / Stability 60. Responsive, outstanding shock absorption, versatile daily/tempo super-trainer; less stable.</x:v>
      </x:c>
      <x:c r="E56" s="49" t="n">
        <x:v>75</x:v>
      </x:c>
      <x:c r="F56" s="49" t="str">
        <x:v>Tier B - Structured Independent Review</x:v>
      </x:c>
      <x:c r="G56" s="49" t="str">
        <x:v>https://runrepeat.com/mizuno-wave-rebellion-flash-3</x:v>
      </x:c>
      <x:c r="H56" s="49" t="str">
        <x:v>https://kor.mizuno.com/product/wave-rebellion-flash-3/10737</x:v>
      </x:c>
      <x:c r="I56" s="56" t="n">
        <x:v>46269</x:v>
      </x:c>
      <x:c r="J56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56" s="49" t="str">
        <x:v>GearMatch AI calibration v1.1</x:v>
      </x:c>
      <x:c r="L56" s="49" t="str">
        <x:v>RECALIBRATED</x:v>
      </x:c>
      <x:c r="M56" s="49" t="str">
        <x:v>product_norm_v1.1</x:v>
      </x:c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49" t="str">
        <x:v>mizuno_rebellion_flash_3</x:v>
      </x:c>
      <x:c r="B57" s="49" t="str">
        <x:v>Mizuno Wave Rebellion Flash 3</x:v>
      </x:c>
      <x:c r="C57" s="49" t="str">
        <x:v>versatility</x:v>
      </x:c>
      <x:c r="D57" s="49" t="str">
        <x:v>RunRepeat: Daily 83 / Tempo 88 / Race 76 / Stability 60. Responsive, outstanding shock absorption, versatile daily/tempo super-trainer; less stable.</x:v>
      </x:c>
      <x:c r="E57" s="49" t="n">
        <x:v>85</x:v>
      </x:c>
      <x:c r="F57" s="49" t="str">
        <x:v>Tier B - Structured Independent Review</x:v>
      </x:c>
      <x:c r="G57" s="49" t="str">
        <x:v>https://runrepeat.com/mizuno-wave-rebellion-flash-3</x:v>
      </x:c>
      <x:c r="H57" s="49" t="str">
        <x:v>https://kor.mizuno.com/product/wave-rebellion-flash-3/10737</x:v>
      </x:c>
      <x:c r="I57" s="56" t="n">
        <x:v>46269</x:v>
      </x:c>
      <x:c r="J57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57" s="49" t="str">
        <x:v>GearMatch AI calibration v1.1</x:v>
      </x:c>
      <x:c r="L57" s="49" t="str">
        <x:v>RECALIBRATED</x:v>
      </x:c>
      <x:c r="M57" s="49" t="str">
        <x:v>product_norm_v1.1</x:v>
      </x:c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49" t="str">
        <x:v>nike_alphafly_3</x:v>
      </x:c>
      <x:c r="B58" s="49" t="str">
        <x:v>Nike Alphafly 3</x:v>
      </x:c>
      <x:c r="C58" s="49" t="str">
        <x:v>daily</x:v>
      </x:c>
      <x:c r="D58" s="49" t="str">
        <x:v>RunRepeat: Daily 44 / Tempo 90 / Race 95 / Stability 74. Marathon super shoe with very high energy return and specialized race focus.</x:v>
      </x:c>
      <x:c r="E58" s="49" t="n">
        <x:v>25</x:v>
      </x:c>
      <x:c r="F58" s="49" t="str">
        <x:v>Tier B - Structured Independent Review</x:v>
      </x:c>
      <x:c r="G58" s="49" t="str">
        <x:v>https://runrepeat.com/nike-alphafly-3</x:v>
      </x:c>
      <x:c r="H58" s="49" t="str">
        <x:v>https://www.nike.com/kr/w/alphafly-1tp17z38l5kz77ghy</x:v>
      </x:c>
      <x:c r="I58" s="56" t="n">
        <x:v>46269</x:v>
      </x:c>
      <x:c r="J58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58" s="49" t="str">
        <x:v>GearMatch AI calibration v1.1</x:v>
      </x:c>
      <x:c r="L58" s="49" t="str">
        <x:v>RECALIBRATED</x:v>
      </x:c>
      <x:c r="M58" s="49" t="str">
        <x:v>product_norm_v1.1</x:v>
      </x:c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49" t="str">
        <x:v>nike_alphafly_3</x:v>
      </x:c>
      <x:c r="B59" s="49" t="str">
        <x:v>Nike Alphafly 3</x:v>
      </x:c>
      <x:c r="C59" s="49" t="str">
        <x:v>comfort</x:v>
      </x:c>
      <x:c r="D59" s="49" t="str">
        <x:v>RunRepeat: Daily 44 / Tempo 90 / Race 95 / Stability 74. Marathon super shoe with very high energy return and specialized race focus.</x:v>
      </x:c>
      <x:c r="E59" s="49" t="n">
        <x:v>70</x:v>
      </x:c>
      <x:c r="F59" s="49" t="str">
        <x:v>Tier B - Structured Independent Review</x:v>
      </x:c>
      <x:c r="G59" s="49" t="str">
        <x:v>https://runrepeat.com/nike-alphafly-3</x:v>
      </x:c>
      <x:c r="H59" s="49" t="str">
        <x:v>https://www.nike.com/kr/w/alphafly-1tp17z38l5kz77ghy</x:v>
      </x:c>
      <x:c r="I59" s="56" t="n">
        <x:v>46269</x:v>
      </x:c>
      <x:c r="J59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59" s="49" t="str">
        <x:v>GearMatch AI calibration v1.1</x:v>
      </x:c>
      <x:c r="L59" s="49" t="str">
        <x:v>RECALIBRATED</x:v>
      </x:c>
      <x:c r="M59" s="49" t="str">
        <x:v>product_norm_v1.1</x:v>
      </x:c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49" t="str">
        <x:v>nike_alphafly_3</x:v>
      </x:c>
      <x:c r="B60" s="49" t="str">
        <x:v>Nike Alphafly 3</x:v>
      </x:c>
      <x:c r="C60" s="49" t="str">
        <x:v>stability</x:v>
      </x:c>
      <x:c r="D60" s="49" t="str">
        <x:v>RunRepeat: Daily 44 / Tempo 90 / Race 95 / Stability 74. Marathon super shoe with very high energy return and specialized race focus.</x:v>
      </x:c>
      <x:c r="E60" s="49" t="n">
        <x:v>75</x:v>
      </x:c>
      <x:c r="F60" s="49" t="str">
        <x:v>Tier B - Structured Independent Review</x:v>
      </x:c>
      <x:c r="G60" s="49" t="str">
        <x:v>https://runrepeat.com/nike-alphafly-3</x:v>
      </x:c>
      <x:c r="H60" s="49" t="str">
        <x:v>https://www.nike.com/kr/w/alphafly-1tp17z38l5kz77ghy</x:v>
      </x:c>
      <x:c r="I60" s="56" t="n">
        <x:v>46269</x:v>
      </x:c>
      <x:c r="J60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60" s="49" t="str">
        <x:v>GearMatch AI calibration v1.1</x:v>
      </x:c>
      <x:c r="L60" s="49" t="str">
        <x:v>RECALIBRATED</x:v>
      </x:c>
      <x:c r="M60" s="49" t="str">
        <x:v>product_norm_v1.1</x:v>
      </x:c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49" t="str">
        <x:v>nike_alphafly_3</x:v>
      </x:c>
      <x:c r="B61" s="49" t="str">
        <x:v>Nike Alphafly 3</x:v>
      </x:c>
      <x:c r="C61" s="49" t="str">
        <x:v>responsiveness</x:v>
      </x:c>
      <x:c r="D61" s="49" t="str">
        <x:v>RunRepeat: Daily 44 / Tempo 90 / Race 95 / Stability 74. Marathon super shoe with very high energy return and specialized race focus.</x:v>
      </x:c>
      <x:c r="E61" s="49" t="n">
        <x:v>95</x:v>
      </x:c>
      <x:c r="F61" s="49" t="str">
        <x:v>Tier B - Structured Independent Review</x:v>
      </x:c>
      <x:c r="G61" s="49" t="str">
        <x:v>https://runrepeat.com/nike-alphafly-3</x:v>
      </x:c>
      <x:c r="H61" s="49" t="str">
        <x:v>https://www.nike.com/kr/w/alphafly-1tp17z38l5kz77ghy</x:v>
      </x:c>
      <x:c r="I61" s="56" t="n">
        <x:v>46269</x:v>
      </x:c>
      <x:c r="J61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61" s="49" t="str">
        <x:v>GearMatch AI calibration v1.1</x:v>
      </x:c>
      <x:c r="L61" s="49" t="str">
        <x:v>RECALIBRATED</x:v>
      </x:c>
      <x:c r="M61" s="49" t="str">
        <x:v>product_norm_v1.1</x:v>
      </x:c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49" t="str">
        <x:v>nike_alphafly_3</x:v>
      </x:c>
      <x:c r="B62" s="49" t="str">
        <x:v>Nike Alphafly 3</x:v>
      </x:c>
      <x:c r="C62" s="49" t="str">
        <x:v>long_run</x:v>
      </x:c>
      <x:c r="D62" s="49" t="str">
        <x:v>RunRepeat: Daily 44 / Tempo 90 / Race 95 / Stability 74. Marathon super shoe with very high energy return and specialized race focus.</x:v>
      </x:c>
      <x:c r="E62" s="49" t="n">
        <x:v>75</x:v>
      </x:c>
      <x:c r="F62" s="49" t="str">
        <x:v>Tier B - Structured Independent Review</x:v>
      </x:c>
      <x:c r="G62" s="49" t="str">
        <x:v>https://runrepeat.com/nike-alphafly-3</x:v>
      </x:c>
      <x:c r="H62" s="49" t="str">
        <x:v>https://www.nike.com/kr/w/alphafly-1tp17z38l5kz77ghy</x:v>
      </x:c>
      <x:c r="I62" s="56" t="n">
        <x:v>46269</x:v>
      </x:c>
      <x:c r="J62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62" s="49" t="str">
        <x:v>GearMatch AI calibration v1.1</x:v>
      </x:c>
      <x:c r="L62" s="49" t="str">
        <x:v>RECALIBRATED</x:v>
      </x:c>
      <x:c r="M62" s="49" t="str">
        <x:v>product_norm_v1.1</x:v>
      </x:c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49" t="str">
        <x:v>nike_alphafly_3</x:v>
      </x:c>
      <x:c r="B63" s="49" t="str">
        <x:v>Nike Alphafly 3</x:v>
      </x:c>
      <x:c r="C63" s="49" t="str">
        <x:v>speed</x:v>
      </x:c>
      <x:c r="D63" s="49" t="str">
        <x:v>RunRepeat: Daily 44 / Tempo 90 / Race 95 / Stability 74. Marathon super shoe with very high energy return and specialized race focus.</x:v>
      </x:c>
      <x:c r="E63" s="49" t="n">
        <x:v>95</x:v>
      </x:c>
      <x:c r="F63" s="49" t="str">
        <x:v>Tier B - Structured Independent Review</x:v>
      </x:c>
      <x:c r="G63" s="49" t="str">
        <x:v>https://runrepeat.com/nike-alphafly-3</x:v>
      </x:c>
      <x:c r="H63" s="49" t="str">
        <x:v>https://www.nike.com/kr/w/alphafly-1tp17z38l5kz77ghy</x:v>
      </x:c>
      <x:c r="I63" s="56" t="n">
        <x:v>46269</x:v>
      </x:c>
      <x:c r="J63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63" s="49" t="str">
        <x:v>GearMatch AI calibration v1.1</x:v>
      </x:c>
      <x:c r="L63" s="49" t="str">
        <x:v>RECALIBRATED</x:v>
      </x:c>
      <x:c r="M63" s="49" t="str">
        <x:v>product_norm_v1.1</x:v>
      </x:c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49" t="str">
        <x:v>nike_alphafly_3</x:v>
      </x:c>
      <x:c r="B64" s="49" t="str">
        <x:v>Nike Alphafly 3</x:v>
      </x:c>
      <x:c r="C64" s="49" t="str">
        <x:v>race</x:v>
      </x:c>
      <x:c r="D64" s="49" t="str">
        <x:v>RunRepeat: Daily 44 / Tempo 90 / Race 95 / Stability 74. Marathon super shoe with very high energy return and specialized race focus.</x:v>
      </x:c>
      <x:c r="E64" s="49" t="n">
        <x:v>95</x:v>
      </x:c>
      <x:c r="F64" s="49" t="str">
        <x:v>Tier B - Structured Independent Review</x:v>
      </x:c>
      <x:c r="G64" s="49" t="str">
        <x:v>https://runrepeat.com/nike-alphafly-3</x:v>
      </x:c>
      <x:c r="H64" s="49" t="str">
        <x:v>https://www.nike.com/kr/w/alphafly-1tp17z38l5kz77ghy</x:v>
      </x:c>
      <x:c r="I64" s="56" t="n">
        <x:v>46269</x:v>
      </x:c>
      <x:c r="J64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64" s="49" t="str">
        <x:v>GearMatch AI calibration v1.1</x:v>
      </x:c>
      <x:c r="L64" s="49" t="str">
        <x:v>RECALIBRATED</x:v>
      </x:c>
      <x:c r="M64" s="49" t="str">
        <x:v>product_norm_v1.1</x:v>
      </x:c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49" t="str">
        <x:v>nike_alphafly_3</x:v>
      </x:c>
      <x:c r="B65" s="49" t="str">
        <x:v>Nike Alphafly 3</x:v>
      </x:c>
      <x:c r="C65" s="49" t="str">
        <x:v>versatility</x:v>
      </x:c>
      <x:c r="D65" s="49" t="str">
        <x:v>RunRepeat: Daily 44 / Tempo 90 / Race 95 / Stability 74. Marathon super shoe with very high energy return and specialized race focus.</x:v>
      </x:c>
      <x:c r="E65" s="49" t="n">
        <x:v>25</x:v>
      </x:c>
      <x:c r="F65" s="49" t="str">
        <x:v>Tier B - Structured Independent Review</x:v>
      </x:c>
      <x:c r="G65" s="49" t="str">
        <x:v>https://runrepeat.com/nike-alphafly-3</x:v>
      </x:c>
      <x:c r="H65" s="49" t="str">
        <x:v>https://www.nike.com/kr/w/alphafly-1tp17z38l5kz77ghy</x:v>
      </x:c>
      <x:c r="I65" s="56" t="n">
        <x:v>46269</x:v>
      </x:c>
      <x:c r="J65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65" s="49" t="str">
        <x:v>GearMatch AI calibration v1.1</x:v>
      </x:c>
      <x:c r="L65" s="49" t="str">
        <x:v>RECALIBRATED</x:v>
      </x:c>
      <x:c r="M65" s="49" t="str">
        <x:v>product_norm_v1.1</x:v>
      </x:c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49" t="str">
        <x:v>nb_sc_elite_v5</x:v>
      </x:c>
      <x:c r="B66" s="49" t="str">
        <x:v>New Balance FuelCell SuperComp Elite v5</x:v>
      </x:c>
      <x:c r="C66" s="49" t="str">
        <x:v>daily</x:v>
      </x:c>
      <x:c r="D66" s="49" t="str">
        <x:v>RunRepeat: Daily 55 / Tempo 86 / Race 91 / Stability 58. Lighter/faster carbon racer with ~75% lab energy return; narrow heel limits stability.</x:v>
      </x:c>
      <x:c r="E66" s="49" t="n">
        <x:v>25</x:v>
      </x:c>
      <x:c r="F66" s="49" t="str">
        <x:v>Tier B - Structured Independent Review</x:v>
      </x:c>
      <x:c r="G66" s="49" t="str">
        <x:v>https://runrepeat.com/new-balance-fuel-cell-super-comp-elite-v-5</x:v>
      </x:c>
      <x:c r="H66" s="49" t="str">
        <x:v>https://pay.nbkorea.com/product/productDetail.action?colCode=35&amp;rccode=pc_detail_a2&amp;styleCode=NBP0FF014T</x:v>
      </x:c>
      <x:c r="I66" s="56" t="n">
        <x:v>46269</x:v>
      </x:c>
      <x:c r="J66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66" s="49" t="str">
        <x:v>GearMatch AI calibration v1.1</x:v>
      </x:c>
      <x:c r="L66" s="49" t="str">
        <x:v>RECALIBRATED</x:v>
      </x:c>
      <x:c r="M66" s="49" t="str">
        <x:v>product_norm_v1.1</x:v>
      </x:c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49" t="str">
        <x:v>nb_sc_elite_v5</x:v>
      </x:c>
      <x:c r="B67" s="49" t="str">
        <x:v>New Balance FuelCell SuperComp Elite v5</x:v>
      </x:c>
      <x:c r="C67" s="49" t="str">
        <x:v>comfort</x:v>
      </x:c>
      <x:c r="D67" s="49" t="str">
        <x:v>RunRepeat: Daily 55 / Tempo 86 / Race 91 / Stability 58. Lighter/faster carbon racer with ~75% lab energy return; narrow heel limits stability.</x:v>
      </x:c>
      <x:c r="E67" s="49" t="n">
        <x:v>75</x:v>
      </x:c>
      <x:c r="F67" s="49" t="str">
        <x:v>Tier B - Structured Independent Review</x:v>
      </x:c>
      <x:c r="G67" s="49" t="str">
        <x:v>https://runrepeat.com/new-balance-fuel-cell-super-comp-elite-v-5</x:v>
      </x:c>
      <x:c r="H67" s="49" t="str">
        <x:v>https://pay.nbkorea.com/product/productDetail.action?colCode=35&amp;rccode=pc_detail_a2&amp;styleCode=NBP0FF014T</x:v>
      </x:c>
      <x:c r="I67" s="56" t="n">
        <x:v>46269</x:v>
      </x:c>
      <x:c r="J67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67" s="49" t="str">
        <x:v>GearMatch AI calibration v1.1</x:v>
      </x:c>
      <x:c r="L67" s="49" t="str">
        <x:v>RECALIBRATED</x:v>
      </x:c>
      <x:c r="M67" s="49" t="str">
        <x:v>product_norm_v1.1</x:v>
      </x:c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49" t="str">
        <x:v>nb_sc_elite_v5</x:v>
      </x:c>
      <x:c r="B68" s="49" t="str">
        <x:v>New Balance FuelCell SuperComp Elite v5</x:v>
      </x:c>
      <x:c r="C68" s="49" t="str">
        <x:v>stability</x:v>
      </x:c>
      <x:c r="D68" s="49" t="str">
        <x:v>RunRepeat: Daily 55 / Tempo 86 / Race 91 / Stability 58. Lighter/faster carbon racer with ~75% lab energy return; narrow heel limits stability.</x:v>
      </x:c>
      <x:c r="E68" s="49" t="n">
        <x:v>60</x:v>
      </x:c>
      <x:c r="F68" s="49" t="str">
        <x:v>Tier B - Structured Independent Review</x:v>
      </x:c>
      <x:c r="G68" s="49" t="str">
        <x:v>https://runrepeat.com/new-balance-fuel-cell-super-comp-elite-v-5</x:v>
      </x:c>
      <x:c r="H68" s="49" t="str">
        <x:v>https://pay.nbkorea.com/product/productDetail.action?colCode=35&amp;rccode=pc_detail_a2&amp;styleCode=NBP0FF014T</x:v>
      </x:c>
      <x:c r="I68" s="56" t="n">
        <x:v>46269</x:v>
      </x:c>
      <x:c r="J68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68" s="49" t="str">
        <x:v>GearMatch AI calibration v1.1</x:v>
      </x:c>
      <x:c r="L68" s="49" t="str">
        <x:v>RECALIBRATED</x:v>
      </x:c>
      <x:c r="M68" s="49" t="str">
        <x:v>product_norm_v1.1</x:v>
      </x:c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49" t="str">
        <x:v>nb_sc_elite_v5</x:v>
      </x:c>
      <x:c r="B69" s="49" t="str">
        <x:v>New Balance FuelCell SuperComp Elite v5</x:v>
      </x:c>
      <x:c r="C69" s="49" t="str">
        <x:v>responsiveness</x:v>
      </x:c>
      <x:c r="D69" s="49" t="str">
        <x:v>RunRepeat: Daily 55 / Tempo 86 / Race 91 / Stability 58. Lighter/faster carbon racer with ~75% lab energy return; narrow heel limits stability.</x:v>
      </x:c>
      <x:c r="E69" s="49" t="n">
        <x:v>85</x:v>
      </x:c>
      <x:c r="F69" s="49" t="str">
        <x:v>Tier B - Structured Independent Review</x:v>
      </x:c>
      <x:c r="G69" s="49" t="str">
        <x:v>https://runrepeat.com/new-balance-fuel-cell-super-comp-elite-v-5</x:v>
      </x:c>
      <x:c r="H69" s="49" t="str">
        <x:v>https://pay.nbkorea.com/product/productDetail.action?colCode=35&amp;rccode=pc_detail_a2&amp;styleCode=NBP0FF014T</x:v>
      </x:c>
      <x:c r="I69" s="56" t="n">
        <x:v>46269</x:v>
      </x:c>
      <x:c r="J69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69" s="49" t="str">
        <x:v>GearMatch AI calibration v1.1</x:v>
      </x:c>
      <x:c r="L69" s="49" t="str">
        <x:v>RECALIBRATED</x:v>
      </x:c>
      <x:c r="M69" s="49" t="str">
        <x:v>product_norm_v1.1</x:v>
      </x:c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49" t="str">
        <x:v>nb_sc_elite_v5</x:v>
      </x:c>
      <x:c r="B70" s="49" t="str">
        <x:v>New Balance FuelCell SuperComp Elite v5</x:v>
      </x:c>
      <x:c r="C70" s="49" t="str">
        <x:v>long_run</x:v>
      </x:c>
      <x:c r="D70" s="49" t="str">
        <x:v>RunRepeat: Daily 55 / Tempo 86 / Race 91 / Stability 58. Lighter/faster carbon racer with ~75% lab energy return; narrow heel limits stability.</x:v>
      </x:c>
      <x:c r="E70" s="49" t="n">
        <x:v>80</x:v>
      </x:c>
      <x:c r="F70" s="49" t="str">
        <x:v>Tier B - Structured Independent Review</x:v>
      </x:c>
      <x:c r="G70" s="49" t="str">
        <x:v>https://runrepeat.com/new-balance-fuel-cell-super-comp-elite-v-5</x:v>
      </x:c>
      <x:c r="H70" s="49" t="str">
        <x:v>https://pay.nbkorea.com/product/productDetail.action?colCode=35&amp;rccode=pc_detail_a2&amp;styleCode=NBP0FF014T</x:v>
      </x:c>
      <x:c r="I70" s="56" t="n">
        <x:v>46269</x:v>
      </x:c>
      <x:c r="J70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70" s="49" t="str">
        <x:v>GearMatch AI calibration v1.1</x:v>
      </x:c>
      <x:c r="L70" s="49" t="str">
        <x:v>RECALIBRATED</x:v>
      </x:c>
      <x:c r="M70" s="49" t="str">
        <x:v>product_norm_v1.1</x:v>
      </x:c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49" t="str">
        <x:v>nb_sc_elite_v5</x:v>
      </x:c>
      <x:c r="B71" s="49" t="str">
        <x:v>New Balance FuelCell SuperComp Elite v5</x:v>
      </x:c>
      <x:c r="C71" s="49" t="str">
        <x:v>speed</x:v>
      </x:c>
      <x:c r="D71" s="49" t="str">
        <x:v>RunRepeat: Daily 55 / Tempo 86 / Race 91 / Stability 58. Lighter/faster carbon racer with ~75% lab energy return; narrow heel limits stability.</x:v>
      </x:c>
      <x:c r="E71" s="49" t="n">
        <x:v>85</x:v>
      </x:c>
      <x:c r="F71" s="49" t="str">
        <x:v>Tier B - Structured Independent Review</x:v>
      </x:c>
      <x:c r="G71" s="49" t="str">
        <x:v>https://runrepeat.com/new-balance-fuel-cell-super-comp-elite-v-5</x:v>
      </x:c>
      <x:c r="H71" s="49" t="str">
        <x:v>https://pay.nbkorea.com/product/productDetail.action?colCode=35&amp;rccode=pc_detail_a2&amp;styleCode=NBP0FF014T</x:v>
      </x:c>
      <x:c r="I71" s="56" t="n">
        <x:v>46269</x:v>
      </x:c>
      <x:c r="J71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71" s="49" t="str">
        <x:v>GearMatch AI calibration v1.1</x:v>
      </x:c>
      <x:c r="L71" s="49" t="str">
        <x:v>RECALIBRATED</x:v>
      </x:c>
      <x:c r="M71" s="49" t="str">
        <x:v>product_norm_v1.1</x:v>
      </x:c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49" t="str">
        <x:v>nb_sc_elite_v5</x:v>
      </x:c>
      <x:c r="B72" s="49" t="str">
        <x:v>New Balance FuelCell SuperComp Elite v5</x:v>
      </x:c>
      <x:c r="C72" s="49" t="str">
        <x:v>race</x:v>
      </x:c>
      <x:c r="D72" s="49" t="str">
        <x:v>RunRepeat: Daily 55 / Tempo 86 / Race 91 / Stability 58. Lighter/faster carbon racer with ~75% lab energy return; narrow heel limits stability.</x:v>
      </x:c>
      <x:c r="E72" s="49" t="n">
        <x:v>90</x:v>
      </x:c>
      <x:c r="F72" s="49" t="str">
        <x:v>Tier B - Structured Independent Review</x:v>
      </x:c>
      <x:c r="G72" s="49" t="str">
        <x:v>https://runrepeat.com/new-balance-fuel-cell-super-comp-elite-v-5</x:v>
      </x:c>
      <x:c r="H72" s="49" t="str">
        <x:v>https://pay.nbkorea.com/product/productDetail.action?colCode=35&amp;rccode=pc_detail_a2&amp;styleCode=NBP0FF014T</x:v>
      </x:c>
      <x:c r="I72" s="56" t="n">
        <x:v>46269</x:v>
      </x:c>
      <x:c r="J72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72" s="49" t="str">
        <x:v>GearMatch AI calibration v1.1</x:v>
      </x:c>
      <x:c r="L72" s="49" t="str">
        <x:v>RECALIBRATED</x:v>
      </x:c>
      <x:c r="M72" s="49" t="str">
        <x:v>product_norm_v1.1</x:v>
      </x:c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49" t="str">
        <x:v>nb_sc_elite_v5</x:v>
      </x:c>
      <x:c r="B73" s="49" t="str">
        <x:v>New Balance FuelCell SuperComp Elite v5</x:v>
      </x:c>
      <x:c r="C73" s="49" t="str">
        <x:v>versatility</x:v>
      </x:c>
      <x:c r="D73" s="49" t="str">
        <x:v>RunRepeat: Daily 55 / Tempo 86 / Race 91 / Stability 58. Lighter/faster carbon racer with ~75% lab energy return; narrow heel limits stability.</x:v>
      </x:c>
      <x:c r="E73" s="49" t="n">
        <x:v>35</x:v>
      </x:c>
      <x:c r="F73" s="49" t="str">
        <x:v>Tier B - Structured Independent Review</x:v>
      </x:c>
      <x:c r="G73" s="49" t="str">
        <x:v>https://runrepeat.com/new-balance-fuel-cell-super-comp-elite-v-5</x:v>
      </x:c>
      <x:c r="H73" s="49" t="str">
        <x:v>https://pay.nbkorea.com/product/productDetail.action?colCode=35&amp;rccode=pc_detail_a2&amp;styleCode=NBP0FF014T</x:v>
      </x:c>
      <x:c r="I73" s="56" t="n">
        <x:v>46269</x:v>
      </x:c>
      <x:c r="J73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73" s="49" t="str">
        <x:v>GearMatch AI calibration v1.1</x:v>
      </x:c>
      <x:c r="L73" s="49" t="str">
        <x:v>RECALIBRATED</x:v>
      </x:c>
      <x:c r="M73" s="49" t="str">
        <x:v>product_norm_v1.1</x:v>
      </x:c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49" t="str">
        <x:v>puma_deviate_nitro_4</x:v>
      </x:c>
      <x:c r="B74" s="49" t="str">
        <x:v>PUMA Deviate NITRO 4</x:v>
      </x:c>
      <x:c r="C74" s="49" t="str">
        <x:v>daily</x:v>
      </x:c>
      <x:c r="D74" s="49" t="str">
        <x:v>RunRepeat: Daily 85 / Tempo 86 / Race 74 / Stability 73. Agile carbon-plated trainer with versatile daily/faster use; stiff plate limits comfort.</x:v>
      </x:c>
      <x:c r="E74" s="49" t="n">
        <x:v>85</x:v>
      </x:c>
      <x:c r="F74" s="49" t="str">
        <x:v>Tier B - Structured Independent Review</x:v>
      </x:c>
      <x:c r="G74" s="49" t="str">
        <x:v>https://runrepeat.com/puma-deviate-nitro-4</x:v>
      </x:c>
      <x:c r="H74" s="49" t="str">
        <x:v>https://kr.puma.com/kr/ko/pd/%EB%94%94%EB%B9%84%EC%97%90%EC%9D%B4%ED%8A%B8-%EB%82%98%EC%9D%B4%ED%8A%B8%EB%A1%9C-4-%3Cbr%3Edeviate-nitro-4/312123.html</x:v>
      </x:c>
      <x:c r="I74" s="56" t="n">
        <x:v>46269</x:v>
      </x:c>
      <x:c r="J74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74" s="49" t="str">
        <x:v>GearMatch AI calibration v1.1</x:v>
      </x:c>
      <x:c r="L74" s="49" t="str">
        <x:v>RECALIBRATED</x:v>
      </x:c>
      <x:c r="M74" s="49" t="str">
        <x:v>product_norm_v1.1</x:v>
      </x:c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49" t="str">
        <x:v>puma_deviate_nitro_4</x:v>
      </x:c>
      <x:c r="B75" s="49" t="str">
        <x:v>PUMA Deviate NITRO 4</x:v>
      </x:c>
      <x:c r="C75" s="49" t="str">
        <x:v>comfort</x:v>
      </x:c>
      <x:c r="D75" s="49" t="str">
        <x:v>RunRepeat: Daily 85 / Tempo 86 / Race 74 / Stability 73. Agile carbon-plated trainer with versatile daily/faster use; stiff plate limits comfort.</x:v>
      </x:c>
      <x:c r="E75" s="49" t="n">
        <x:v>65</x:v>
      </x:c>
      <x:c r="F75" s="49" t="str">
        <x:v>Tier B - Structured Independent Review</x:v>
      </x:c>
      <x:c r="G75" s="49" t="str">
        <x:v>https://runrepeat.com/puma-deviate-nitro-4</x:v>
      </x:c>
      <x:c r="H75" s="49" t="str">
        <x:v>https://kr.puma.com/kr/ko/pd/%EB%94%94%EB%B9%84%EC%97%90%EC%9D%B4%ED%8A%B8-%EB%82%98%EC%9D%B4%ED%8A%B8%EB%A1%9C-4-%3Cbr%3Edeviate-nitro-4/312123.html</x:v>
      </x:c>
      <x:c r="I75" s="56" t="n">
        <x:v>46269</x:v>
      </x:c>
      <x:c r="J75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75" s="49" t="str">
        <x:v>GearMatch AI calibration v1.1</x:v>
      </x:c>
      <x:c r="L75" s="49" t="str">
        <x:v>RECALIBRATED</x:v>
      </x:c>
      <x:c r="M75" s="49" t="str">
        <x:v>product_norm_v1.1</x:v>
      </x:c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49" t="str">
        <x:v>puma_deviate_nitro_4</x:v>
      </x:c>
      <x:c r="B76" s="49" t="str">
        <x:v>PUMA Deviate NITRO 4</x:v>
      </x:c>
      <x:c r="C76" s="49" t="str">
        <x:v>stability</x:v>
      </x:c>
      <x:c r="D76" s="49" t="str">
        <x:v>RunRepeat: Daily 85 / Tempo 86 / Race 74 / Stability 73. Agile carbon-plated trainer with versatile daily/faster use; stiff plate limits comfort.</x:v>
      </x:c>
      <x:c r="E76" s="49" t="n">
        <x:v>75</x:v>
      </x:c>
      <x:c r="F76" s="49" t="str">
        <x:v>Tier B - Structured Independent Review</x:v>
      </x:c>
      <x:c r="G76" s="49" t="str">
        <x:v>https://runrepeat.com/puma-deviate-nitro-4</x:v>
      </x:c>
      <x:c r="H76" s="49" t="str">
        <x:v>https://kr.puma.com/kr/ko/pd/%EB%94%94%EB%B9%84%EC%97%90%EC%9D%B4%ED%8A%B8-%EB%82%98%EC%9D%B4%ED%8A%B8%EB%A1%9C-4-%3Cbr%3Edeviate-nitro-4/312123.html</x:v>
      </x:c>
      <x:c r="I76" s="56" t="n">
        <x:v>46269</x:v>
      </x:c>
      <x:c r="J76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76" s="49" t="str">
        <x:v>GearMatch AI calibration v1.1</x:v>
      </x:c>
      <x:c r="L76" s="49" t="str">
        <x:v>RECALIBRATED</x:v>
      </x:c>
      <x:c r="M76" s="49" t="str">
        <x:v>product_norm_v1.1</x:v>
      </x:c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49" t="str">
        <x:v>puma_deviate_nitro_4</x:v>
      </x:c>
      <x:c r="B77" s="49" t="str">
        <x:v>PUMA Deviate NITRO 4</x:v>
      </x:c>
      <x:c r="C77" s="49" t="str">
        <x:v>responsiveness</x:v>
      </x:c>
      <x:c r="D77" s="49" t="str">
        <x:v>RunRepeat: Daily 85 / Tempo 86 / Race 74 / Stability 73. Agile carbon-plated trainer with versatile daily/faster use; stiff plate limits comfort.</x:v>
      </x:c>
      <x:c r="E77" s="49" t="n">
        <x:v>85</x:v>
      </x:c>
      <x:c r="F77" s="49" t="str">
        <x:v>Tier B - Structured Independent Review</x:v>
      </x:c>
      <x:c r="G77" s="49" t="str">
        <x:v>https://runrepeat.com/puma-deviate-nitro-4</x:v>
      </x:c>
      <x:c r="H77" s="49" t="str">
        <x:v>https://kr.puma.com/kr/ko/pd/%EB%94%94%EB%B9%84%EC%97%90%EC%9D%B4%ED%8A%B8-%EB%82%98%EC%9D%B4%ED%8A%B8%EB%A1%9C-4-%3Cbr%3Edeviate-nitro-4/312123.html</x:v>
      </x:c>
      <x:c r="I77" s="56" t="n">
        <x:v>46269</x:v>
      </x:c>
      <x:c r="J77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77" s="49" t="str">
        <x:v>GearMatch AI calibration v1.1</x:v>
      </x:c>
      <x:c r="L77" s="49" t="str">
        <x:v>RECALIBRATED</x:v>
      </x:c>
      <x:c r="M77" s="49" t="str">
        <x:v>product_norm_v1.1</x:v>
      </x:c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49" t="str">
        <x:v>puma_deviate_nitro_4</x:v>
      </x:c>
      <x:c r="B78" s="49" t="str">
        <x:v>PUMA Deviate NITRO 4</x:v>
      </x:c>
      <x:c r="C78" s="49" t="str">
        <x:v>long_run</x:v>
      </x:c>
      <x:c r="D78" s="49" t="str">
        <x:v>RunRepeat: Daily 85 / Tempo 86 / Race 74 / Stability 73. Agile carbon-plated trainer with versatile daily/faster use; stiff plate limits comfort.</x:v>
      </x:c>
      <x:c r="E78" s="49" t="n">
        <x:v>70</x:v>
      </x:c>
      <x:c r="F78" s="49" t="str">
        <x:v>Tier B - Structured Independent Review</x:v>
      </x:c>
      <x:c r="G78" s="49" t="str">
        <x:v>https://runrepeat.com/puma-deviate-nitro-4</x:v>
      </x:c>
      <x:c r="H78" s="49" t="str">
        <x:v>https://kr.puma.com/kr/ko/pd/%EB%94%94%EB%B9%84%EC%97%90%EC%9D%B4%ED%8A%B8-%EB%82%98%EC%9D%B4%ED%8A%B8%EB%A1%9C-4-%3Cbr%3Edeviate-nitro-4/312123.html</x:v>
      </x:c>
      <x:c r="I78" s="56" t="n">
        <x:v>46269</x:v>
      </x:c>
      <x:c r="J78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78" s="49" t="str">
        <x:v>GearMatch AI calibration v1.1</x:v>
      </x:c>
      <x:c r="L78" s="49" t="str">
        <x:v>RECALIBRATED</x:v>
      </x:c>
      <x:c r="M78" s="49" t="str">
        <x:v>product_norm_v1.1</x:v>
      </x:c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49" t="str">
        <x:v>puma_deviate_nitro_4</x:v>
      </x:c>
      <x:c r="B79" s="49" t="str">
        <x:v>PUMA Deviate NITRO 4</x:v>
      </x:c>
      <x:c r="C79" s="49" t="str">
        <x:v>speed</x:v>
      </x:c>
      <x:c r="D79" s="49" t="str">
        <x:v>RunRepeat: Daily 85 / Tempo 86 / Race 74 / Stability 73. Agile carbon-plated trainer with versatile daily/faster use; stiff plate limits comfort.</x:v>
      </x:c>
      <x:c r="E79" s="49" t="n">
        <x:v>85</x:v>
      </x:c>
      <x:c r="F79" s="49" t="str">
        <x:v>Tier B - Structured Independent Review</x:v>
      </x:c>
      <x:c r="G79" s="49" t="str">
        <x:v>https://runrepeat.com/puma-deviate-nitro-4</x:v>
      </x:c>
      <x:c r="H79" s="49" t="str">
        <x:v>https://kr.puma.com/kr/ko/pd/%EB%94%94%EB%B9%84%EC%97%90%EC%9D%B4%ED%8A%B8-%EB%82%98%EC%9D%B4%ED%8A%B8%EB%A1%9C-4-%3Cbr%3Edeviate-nitro-4/312123.html</x:v>
      </x:c>
      <x:c r="I79" s="56" t="n">
        <x:v>46269</x:v>
      </x:c>
      <x:c r="J79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79" s="49" t="str">
        <x:v>GearMatch AI calibration v1.1</x:v>
      </x:c>
      <x:c r="L79" s="49" t="str">
        <x:v>RECALIBRATED</x:v>
      </x:c>
      <x:c r="M79" s="49" t="str">
        <x:v>product_norm_v1.1</x:v>
      </x:c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49" t="str">
        <x:v>puma_deviate_nitro_4</x:v>
      </x:c>
      <x:c r="B80" s="49" t="str">
        <x:v>PUMA Deviate NITRO 4</x:v>
      </x:c>
      <x:c r="C80" s="49" t="str">
        <x:v>race</x:v>
      </x:c>
      <x:c r="D80" s="49" t="str">
        <x:v>RunRepeat: Daily 85 / Tempo 86 / Race 74 / Stability 73. Agile carbon-plated trainer with versatile daily/faster use; stiff plate limits comfort.</x:v>
      </x:c>
      <x:c r="E80" s="49" t="n">
        <x:v>55</x:v>
      </x:c>
      <x:c r="F80" s="49" t="str">
        <x:v>Tier B - Structured Independent Review</x:v>
      </x:c>
      <x:c r="G80" s="49" t="str">
        <x:v>https://runrepeat.com/puma-deviate-nitro-4</x:v>
      </x:c>
      <x:c r="H80" s="49" t="str">
        <x:v>https://kr.puma.com/kr/ko/pd/%EB%94%94%EB%B9%84%EC%97%90%EC%9D%B4%ED%8A%B8-%EB%82%98%EC%9D%B4%ED%8A%B8%EB%A1%9C-4-%3Cbr%3Edeviate-nitro-4/312123.html</x:v>
      </x:c>
      <x:c r="I80" s="56" t="n">
        <x:v>46269</x:v>
      </x:c>
      <x:c r="J80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80" s="49" t="str">
        <x:v>GearMatch AI calibration v1.1</x:v>
      </x:c>
      <x:c r="L80" s="49" t="str">
        <x:v>RECALIBRATED</x:v>
      </x:c>
      <x:c r="M80" s="49" t="str">
        <x:v>product_norm_v1.1</x:v>
      </x:c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49" t="str">
        <x:v>puma_deviate_nitro_4</x:v>
      </x:c>
      <x:c r="B81" s="49" t="str">
        <x:v>PUMA Deviate NITRO 4</x:v>
      </x:c>
      <x:c r="C81" s="49" t="str">
        <x:v>versatility</x:v>
      </x:c>
      <x:c r="D81" s="49" t="str">
        <x:v>RunRepeat: Daily 85 / Tempo 86 / Race 74 / Stability 73. Agile carbon-plated trainer with versatile daily/faster use; stiff plate limits comfort.</x:v>
      </x:c>
      <x:c r="E81" s="49" t="n">
        <x:v>85</x:v>
      </x:c>
      <x:c r="F81" s="49" t="str">
        <x:v>Tier B - Structured Independent Review</x:v>
      </x:c>
      <x:c r="G81" s="49" t="str">
        <x:v>https://runrepeat.com/puma-deviate-nitro-4</x:v>
      </x:c>
      <x:c r="H81" s="49" t="str">
        <x:v>https://kr.puma.com/kr/ko/pd/%EB%94%94%EB%B9%84%EC%97%90%EC%9D%B4%ED%8A%B8-%EB%82%98%EC%9D%B4%ED%8A%B8%EB%A1%9C-4-%3Cbr%3Edeviate-nitro-4/312123.html</x:v>
      </x:c>
      <x:c r="I81" s="56" t="n">
        <x:v>46269</x:v>
      </x:c>
      <x:c r="J81" s="49" t="str">
        <x:v>GearMatch v1.1 re-calibration: 외부 리뷰의 Daily/Tempo/Race 점수를 그대로 전용하지 않고, GearMatch 정의(daily role, ride responsiveness, speed-training fit, race specialization, versatility)에 맞춰 5점 단위로 재정규화.</x:v>
      </x:c>
      <x:c r="K81" s="49" t="str">
        <x:v>GearMatch AI calibration v1.1</x:v>
      </x:c>
      <x:c r="L81" s="49" t="str">
        <x:v>RECALIBRATED</x:v>
      </x:c>
      <x:c r="M81" s="49" t="str">
        <x:v>product_norm_v1.1</x:v>
      </x:c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49"/>
      <x:c r="B82" s="49"/>
      <x:c r="C82" s="49"/>
      <x:c r="D82" s="49"/>
      <x:c r="E82" s="49"/>
      <x:c r="F82" s="49"/>
      <x:c r="G82" s="49"/>
      <x:c r="H82" s="49"/>
      <x:c r="I82" s="56"/>
      <x:c r="J82" s="49"/>
      <x:c r="K82" s="49"/>
      <x:c r="L82" s="49"/>
      <x:c r="M82" s="49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49"/>
      <x:c r="B83" s="49"/>
      <x:c r="C83" s="49"/>
      <x:c r="D83" s="49"/>
      <x:c r="E83" s="49"/>
      <x:c r="F83" s="49"/>
      <x:c r="G83" s="49"/>
      <x:c r="H83" s="49"/>
      <x:c r="I83" s="56"/>
      <x:c r="J83" s="49"/>
      <x:c r="K83" s="49"/>
      <x:c r="L83" s="49"/>
      <x:c r="M83" s="49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49"/>
      <x:c r="B84" s="49"/>
      <x:c r="C84" s="49"/>
      <x:c r="D84" s="49"/>
      <x:c r="E84" s="49"/>
      <x:c r="F84" s="49"/>
      <x:c r="G84" s="49"/>
      <x:c r="H84" s="49"/>
      <x:c r="I84" s="56"/>
      <x:c r="J84" s="49"/>
      <x:c r="K84" s="49"/>
      <x:c r="L84" s="49"/>
      <x:c r="M84" s="49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49"/>
      <x:c r="B85" s="49"/>
      <x:c r="C85" s="49"/>
      <x:c r="D85" s="49"/>
      <x:c r="E85" s="49"/>
      <x:c r="F85" s="49"/>
      <x:c r="G85" s="49"/>
      <x:c r="H85" s="49"/>
      <x:c r="I85" s="56"/>
      <x:c r="J85" s="49"/>
      <x:c r="K85" s="49"/>
      <x:c r="L85" s="49"/>
      <x:c r="M85" s="49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49"/>
      <x:c r="B86" s="49"/>
      <x:c r="C86" s="49"/>
      <x:c r="D86" s="49"/>
      <x:c r="E86" s="49"/>
      <x:c r="F86" s="49"/>
      <x:c r="G86" s="49"/>
      <x:c r="H86" s="49"/>
      <x:c r="I86" s="56"/>
      <x:c r="J86" s="49"/>
      <x:c r="K86" s="49"/>
      <x:c r="L86" s="49"/>
      <x:c r="M86" s="49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49"/>
      <x:c r="B87" s="49"/>
      <x:c r="C87" s="49"/>
      <x:c r="D87" s="49"/>
      <x:c r="E87" s="49"/>
      <x:c r="F87" s="49"/>
      <x:c r="G87" s="49"/>
      <x:c r="H87" s="49"/>
      <x:c r="I87" s="56"/>
      <x:c r="J87" s="49"/>
      <x:c r="K87" s="49"/>
      <x:c r="L87" s="49"/>
      <x:c r="M87" s="49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49"/>
      <x:c r="B88" s="49"/>
      <x:c r="C88" s="49"/>
      <x:c r="D88" s="49"/>
      <x:c r="E88" s="49"/>
      <x:c r="F88" s="49"/>
      <x:c r="G88" s="49"/>
      <x:c r="H88" s="49"/>
      <x:c r="I88" s="56"/>
      <x:c r="J88" s="49"/>
      <x:c r="K88" s="49"/>
      <x:c r="L88" s="49"/>
      <x:c r="M88" s="49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49"/>
      <x:c r="B89" s="49"/>
      <x:c r="C89" s="49"/>
      <x:c r="D89" s="49"/>
      <x:c r="E89" s="49"/>
      <x:c r="F89" s="49"/>
      <x:c r="G89" s="49"/>
      <x:c r="H89" s="49"/>
      <x:c r="I89" s="56"/>
      <x:c r="J89" s="49"/>
      <x:c r="K89" s="49"/>
      <x:c r="L89" s="49"/>
      <x:c r="M89" s="49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49"/>
      <x:c r="B90" s="49"/>
      <x:c r="C90" s="49"/>
      <x:c r="D90" s="49"/>
      <x:c r="E90" s="49"/>
      <x:c r="F90" s="49"/>
      <x:c r="G90" s="49"/>
      <x:c r="H90" s="49"/>
      <x:c r="I90" s="56"/>
      <x:c r="J90" s="49"/>
      <x:c r="K90" s="49"/>
      <x:c r="L90" s="49"/>
      <x:c r="M90" s="49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49"/>
      <x:c r="B91" s="49"/>
      <x:c r="C91" s="49"/>
      <x:c r="D91" s="49"/>
      <x:c r="E91" s="49"/>
      <x:c r="F91" s="49"/>
      <x:c r="G91" s="49"/>
      <x:c r="H91" s="49"/>
      <x:c r="I91" s="56"/>
      <x:c r="J91" s="49"/>
      <x:c r="K91" s="49"/>
      <x:c r="L91" s="49"/>
      <x:c r="M91" s="49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49"/>
      <x:c r="B92" s="49"/>
      <x:c r="C92" s="49"/>
      <x:c r="D92" s="49"/>
      <x:c r="E92" s="49"/>
      <x:c r="F92" s="49"/>
      <x:c r="G92" s="49"/>
      <x:c r="H92" s="49"/>
      <x:c r="I92" s="56"/>
      <x:c r="J92" s="49"/>
      <x:c r="K92" s="49"/>
      <x:c r="L92" s="49"/>
      <x:c r="M92" s="49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49"/>
      <x:c r="B93" s="49"/>
      <x:c r="C93" s="49"/>
      <x:c r="D93" s="49"/>
      <x:c r="E93" s="49"/>
      <x:c r="F93" s="49"/>
      <x:c r="G93" s="49"/>
      <x:c r="H93" s="49"/>
      <x:c r="I93" s="56"/>
      <x:c r="J93" s="49"/>
      <x:c r="K93" s="49"/>
      <x:c r="L93" s="49"/>
      <x:c r="M93" s="49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49"/>
      <x:c r="B94" s="49"/>
      <x:c r="C94" s="49"/>
      <x:c r="D94" s="49"/>
      <x:c r="E94" s="49"/>
      <x:c r="F94" s="49"/>
      <x:c r="G94" s="49"/>
      <x:c r="H94" s="49"/>
      <x:c r="I94" s="56"/>
      <x:c r="J94" s="49"/>
      <x:c r="K94" s="49"/>
      <x:c r="L94" s="49"/>
      <x:c r="M94" s="49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49"/>
      <x:c r="B95" s="49"/>
      <x:c r="C95" s="49"/>
      <x:c r="D95" s="49"/>
      <x:c r="E95" s="49"/>
      <x:c r="F95" s="49"/>
      <x:c r="G95" s="49"/>
      <x:c r="H95" s="49"/>
      <x:c r="I95" s="56"/>
      <x:c r="J95" s="49"/>
      <x:c r="K95" s="49"/>
      <x:c r="L95" s="49"/>
      <x:c r="M95" s="49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49"/>
      <x:c r="B96" s="49"/>
      <x:c r="C96" s="49"/>
      <x:c r="D96" s="49"/>
      <x:c r="E96" s="49"/>
      <x:c r="F96" s="49"/>
      <x:c r="G96" s="49"/>
      <x:c r="H96" s="49"/>
      <x:c r="I96" s="56"/>
      <x:c r="J96" s="49"/>
      <x:c r="K96" s="49"/>
      <x:c r="L96" s="49"/>
      <x:c r="M96" s="49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49"/>
      <x:c r="B97" s="49"/>
      <x:c r="C97" s="49"/>
      <x:c r="D97" s="49"/>
      <x:c r="E97" s="49"/>
      <x:c r="F97" s="49"/>
      <x:c r="G97" s="49"/>
      <x:c r="H97" s="49"/>
      <x:c r="I97" s="56"/>
      <x:c r="J97" s="49"/>
      <x:c r="K97" s="49"/>
      <x:c r="L97" s="49"/>
      <x:c r="M97" s="49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49"/>
      <x:c r="B98" s="49"/>
      <x:c r="C98" s="49"/>
      <x:c r="D98" s="49"/>
      <x:c r="E98" s="49"/>
      <x:c r="F98" s="49"/>
      <x:c r="G98" s="49"/>
      <x:c r="H98" s="49"/>
      <x:c r="I98" s="56"/>
      <x:c r="J98" s="49"/>
      <x:c r="K98" s="49"/>
      <x:c r="L98" s="49"/>
      <x:c r="M98" s="49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49"/>
      <x:c r="B99" s="49"/>
      <x:c r="C99" s="49"/>
      <x:c r="D99" s="49"/>
      <x:c r="E99" s="49"/>
      <x:c r="F99" s="49"/>
      <x:c r="G99" s="49"/>
      <x:c r="H99" s="49"/>
      <x:c r="I99" s="56"/>
      <x:c r="J99" s="49"/>
      <x:c r="K99" s="49"/>
      <x:c r="L99" s="49"/>
      <x:c r="M99" s="49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49"/>
      <x:c r="B100" s="49"/>
      <x:c r="C100" s="49"/>
      <x:c r="D100" s="49"/>
      <x:c r="E100" s="49"/>
      <x:c r="F100" s="49"/>
      <x:c r="G100" s="49"/>
      <x:c r="H100" s="49"/>
      <x:c r="I100" s="56"/>
      <x:c r="J100" s="49"/>
      <x:c r="K100" s="49"/>
      <x:c r="L100" s="49"/>
      <x:c r="M100" s="49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49"/>
      <x:c r="B101" s="49"/>
      <x:c r="C101" s="49"/>
      <x:c r="D101" s="49"/>
      <x:c r="E101" s="49"/>
      <x:c r="F101" s="49"/>
      <x:c r="G101" s="49"/>
      <x:c r="H101" s="49"/>
      <x:c r="I101" s="56"/>
      <x:c r="J101" s="49"/>
      <x:c r="K101" s="49"/>
      <x:c r="L101" s="49"/>
      <x:c r="M101" s="49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49"/>
      <x:c r="B102" s="49"/>
      <x:c r="C102" s="49"/>
      <x:c r="D102" s="49"/>
      <x:c r="E102" s="49"/>
      <x:c r="F102" s="49"/>
      <x:c r="G102" s="49"/>
      <x:c r="H102" s="49"/>
      <x:c r="I102" s="56"/>
      <x:c r="J102" s="49"/>
      <x:c r="K102" s="49"/>
      <x:c r="L102" s="49"/>
      <x:c r="M102" s="49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49"/>
      <x:c r="B103" s="49"/>
      <x:c r="C103" s="49"/>
      <x:c r="D103" s="49"/>
      <x:c r="E103" s="49"/>
      <x:c r="F103" s="49"/>
      <x:c r="G103" s="49"/>
      <x:c r="H103" s="49"/>
      <x:c r="I103" s="56"/>
      <x:c r="J103" s="49"/>
      <x:c r="K103" s="49"/>
      <x:c r="L103" s="49"/>
      <x:c r="M103" s="49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49"/>
      <x:c r="B104" s="49"/>
      <x:c r="C104" s="49"/>
      <x:c r="D104" s="49"/>
      <x:c r="E104" s="49"/>
      <x:c r="F104" s="49"/>
      <x:c r="G104" s="49"/>
      <x:c r="H104" s="49"/>
      <x:c r="I104" s="56"/>
      <x:c r="J104" s="49"/>
      <x:c r="K104" s="49"/>
      <x:c r="L104" s="49"/>
      <x:c r="M104" s="49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49"/>
      <x:c r="B105" s="49"/>
      <x:c r="C105" s="49"/>
      <x:c r="D105" s="49"/>
      <x:c r="E105" s="49"/>
      <x:c r="F105" s="49"/>
      <x:c r="G105" s="49"/>
      <x:c r="H105" s="49"/>
      <x:c r="I105" s="56"/>
      <x:c r="J105" s="49"/>
      <x:c r="K105" s="49"/>
      <x:c r="L105" s="49"/>
      <x:c r="M105" s="49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49"/>
      <x:c r="B106" s="49"/>
      <x:c r="C106" s="49"/>
      <x:c r="D106" s="49"/>
      <x:c r="E106" s="49"/>
      <x:c r="F106" s="49"/>
      <x:c r="G106" s="49"/>
      <x:c r="H106" s="49"/>
      <x:c r="I106" s="56"/>
      <x:c r="J106" s="49"/>
      <x:c r="K106" s="49"/>
      <x:c r="L106" s="49"/>
      <x:c r="M106" s="49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49"/>
      <x:c r="B107" s="49"/>
      <x:c r="C107" s="49"/>
      <x:c r="D107" s="49"/>
      <x:c r="E107" s="49"/>
      <x:c r="F107" s="49"/>
      <x:c r="G107" s="49"/>
      <x:c r="H107" s="49"/>
      <x:c r="I107" s="56"/>
      <x:c r="J107" s="49"/>
      <x:c r="K107" s="49"/>
      <x:c r="L107" s="49"/>
      <x:c r="M107" s="49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49"/>
      <x:c r="B108" s="49"/>
      <x:c r="C108" s="49"/>
      <x:c r="D108" s="49"/>
      <x:c r="E108" s="49"/>
      <x:c r="F108" s="49"/>
      <x:c r="G108" s="49"/>
      <x:c r="H108" s="49"/>
      <x:c r="I108" s="56"/>
      <x:c r="J108" s="49"/>
      <x:c r="K108" s="49"/>
      <x:c r="L108" s="49"/>
      <x:c r="M108" s="49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49"/>
      <x:c r="B109" s="49"/>
      <x:c r="C109" s="49"/>
      <x:c r="D109" s="49"/>
      <x:c r="E109" s="49"/>
      <x:c r="F109" s="49"/>
      <x:c r="G109" s="49"/>
      <x:c r="H109" s="49"/>
      <x:c r="I109" s="56"/>
      <x:c r="J109" s="49"/>
      <x:c r="K109" s="49"/>
      <x:c r="L109" s="49"/>
      <x:c r="M109" s="49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49"/>
      <x:c r="B110" s="49"/>
      <x:c r="C110" s="49"/>
      <x:c r="D110" s="49"/>
      <x:c r="E110" s="49"/>
      <x:c r="F110" s="49"/>
      <x:c r="G110" s="49"/>
      <x:c r="H110" s="49"/>
      <x:c r="I110" s="56"/>
      <x:c r="J110" s="49"/>
      <x:c r="K110" s="49"/>
      <x:c r="L110" s="49"/>
      <x:c r="M110" s="49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49"/>
      <x:c r="B111" s="49"/>
      <x:c r="C111" s="49"/>
      <x:c r="D111" s="49"/>
      <x:c r="E111" s="49"/>
      <x:c r="F111" s="49"/>
      <x:c r="G111" s="49"/>
      <x:c r="H111" s="49"/>
      <x:c r="I111" s="56"/>
      <x:c r="J111" s="49"/>
      <x:c r="K111" s="49"/>
      <x:c r="L111" s="49"/>
      <x:c r="M111" s="49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49"/>
      <x:c r="B112" s="49"/>
      <x:c r="C112" s="49"/>
      <x:c r="D112" s="49"/>
      <x:c r="E112" s="49"/>
      <x:c r="F112" s="49"/>
      <x:c r="G112" s="49"/>
      <x:c r="H112" s="49"/>
      <x:c r="I112" s="56"/>
      <x:c r="J112" s="49"/>
      <x:c r="K112" s="49"/>
      <x:c r="L112" s="49"/>
      <x:c r="M112" s="49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49"/>
      <x:c r="B113" s="49"/>
      <x:c r="C113" s="49"/>
      <x:c r="D113" s="49"/>
      <x:c r="E113" s="49"/>
      <x:c r="F113" s="49"/>
      <x:c r="G113" s="49"/>
      <x:c r="H113" s="49"/>
      <x:c r="I113" s="56"/>
      <x:c r="J113" s="49"/>
      <x:c r="K113" s="49"/>
      <x:c r="L113" s="49"/>
      <x:c r="M113" s="49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49"/>
      <x:c r="B114" s="49"/>
      <x:c r="C114" s="49"/>
      <x:c r="D114" s="49"/>
      <x:c r="E114" s="49"/>
      <x:c r="F114" s="49"/>
      <x:c r="G114" s="49"/>
      <x:c r="H114" s="49"/>
      <x:c r="I114" s="56"/>
      <x:c r="J114" s="49"/>
      <x:c r="K114" s="49"/>
      <x:c r="L114" s="49"/>
      <x:c r="M114" s="49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49"/>
      <x:c r="B115" s="49"/>
      <x:c r="C115" s="49"/>
      <x:c r="D115" s="49"/>
      <x:c r="E115" s="49"/>
      <x:c r="F115" s="49"/>
      <x:c r="G115" s="49"/>
      <x:c r="H115" s="49"/>
      <x:c r="I115" s="56"/>
      <x:c r="J115" s="49"/>
      <x:c r="K115" s="49"/>
      <x:c r="L115" s="49"/>
      <x:c r="M115" s="49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49"/>
      <x:c r="B116" s="49"/>
      <x:c r="C116" s="49"/>
      <x:c r="D116" s="49"/>
      <x:c r="E116" s="49"/>
      <x:c r="F116" s="49"/>
      <x:c r="G116" s="49"/>
      <x:c r="H116" s="49"/>
      <x:c r="I116" s="56"/>
      <x:c r="J116" s="49"/>
      <x:c r="K116" s="49"/>
      <x:c r="L116" s="49"/>
      <x:c r="M116" s="49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49"/>
      <x:c r="B117" s="49"/>
      <x:c r="C117" s="49"/>
      <x:c r="D117" s="49"/>
      <x:c r="E117" s="49"/>
      <x:c r="F117" s="49"/>
      <x:c r="G117" s="49"/>
      <x:c r="H117" s="49"/>
      <x:c r="I117" s="56"/>
      <x:c r="J117" s="49"/>
      <x:c r="K117" s="49"/>
      <x:c r="L117" s="49"/>
      <x:c r="M117" s="49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49"/>
      <x:c r="B118" s="49"/>
      <x:c r="C118" s="49"/>
      <x:c r="D118" s="49"/>
      <x:c r="E118" s="49"/>
      <x:c r="F118" s="49"/>
      <x:c r="G118" s="49"/>
      <x:c r="H118" s="49"/>
      <x:c r="I118" s="56"/>
      <x:c r="J118" s="49"/>
      <x:c r="K118" s="49"/>
      <x:c r="L118" s="49"/>
      <x:c r="M118" s="49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49"/>
      <x:c r="B119" s="49"/>
      <x:c r="C119" s="49"/>
      <x:c r="D119" s="49"/>
      <x:c r="E119" s="49"/>
      <x:c r="F119" s="49"/>
      <x:c r="G119" s="49"/>
      <x:c r="H119" s="49"/>
      <x:c r="I119" s="56"/>
      <x:c r="J119" s="49"/>
      <x:c r="K119" s="49"/>
      <x:c r="L119" s="49"/>
      <x:c r="M119" s="49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49"/>
      <x:c r="B120" s="49"/>
      <x:c r="C120" s="49"/>
      <x:c r="D120" s="49"/>
      <x:c r="E120" s="49"/>
      <x:c r="F120" s="49"/>
      <x:c r="G120" s="49"/>
      <x:c r="H120" s="49"/>
      <x:c r="I120" s="56"/>
      <x:c r="J120" s="49"/>
      <x:c r="K120" s="49"/>
      <x:c r="L120" s="49"/>
      <x:c r="M120" s="49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  <x:row r="121">
      <x:c r="A121" s="49"/>
      <x:c r="B121" s="49"/>
      <x:c r="C121" s="49"/>
      <x:c r="D121" s="49"/>
      <x:c r="E121" s="49"/>
      <x:c r="F121" s="49"/>
      <x:c r="G121" s="49"/>
      <x:c r="H121" s="49"/>
      <x:c r="I121" s="56"/>
      <x:c r="J121" s="49"/>
      <x:c r="K121" s="49"/>
      <x:c r="L121" s="49"/>
      <x:c r="M121" s="49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8"/>
      <x:c r="Z121" s="48"/>
    </x:row>
    <x:row r="122">
      <x:c r="A122" s="49"/>
      <x:c r="B122" s="49"/>
      <x:c r="C122" s="49"/>
      <x:c r="D122" s="49"/>
      <x:c r="E122" s="49"/>
      <x:c r="F122" s="49"/>
      <x:c r="G122" s="49"/>
      <x:c r="H122" s="49"/>
      <x:c r="I122" s="56"/>
      <x:c r="J122" s="49"/>
      <x:c r="K122" s="49"/>
      <x:c r="L122" s="49"/>
      <x:c r="M122" s="49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8"/>
      <x:c r="Z122" s="48"/>
    </x:row>
    <x:row r="123">
      <x:c r="A123" s="49"/>
      <x:c r="B123" s="49"/>
      <x:c r="C123" s="49"/>
      <x:c r="D123" s="49"/>
      <x:c r="E123" s="49"/>
      <x:c r="F123" s="49"/>
      <x:c r="G123" s="49"/>
      <x:c r="H123" s="49"/>
      <x:c r="I123" s="56"/>
      <x:c r="J123" s="49"/>
      <x:c r="K123" s="49"/>
      <x:c r="L123" s="49"/>
      <x:c r="M123" s="49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8"/>
      <x:c r="Z123" s="48"/>
    </x:row>
    <x:row r="124">
      <x:c r="A124" s="49"/>
      <x:c r="B124" s="49"/>
      <x:c r="C124" s="49"/>
      <x:c r="D124" s="49"/>
      <x:c r="E124" s="49"/>
      <x:c r="F124" s="49"/>
      <x:c r="G124" s="49"/>
      <x:c r="H124" s="49"/>
      <x:c r="I124" s="56"/>
      <x:c r="J124" s="49"/>
      <x:c r="K124" s="49"/>
      <x:c r="L124" s="49"/>
      <x:c r="M124" s="49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8"/>
      <x:c r="Z124" s="48"/>
    </x:row>
    <x:row r="125">
      <x:c r="A125" s="49"/>
      <x:c r="B125" s="49"/>
      <x:c r="C125" s="49"/>
      <x:c r="D125" s="49"/>
      <x:c r="E125" s="49"/>
      <x:c r="F125" s="49"/>
      <x:c r="G125" s="49"/>
      <x:c r="H125" s="49"/>
      <x:c r="I125" s="56"/>
      <x:c r="J125" s="49"/>
      <x:c r="K125" s="49"/>
      <x:c r="L125" s="49"/>
      <x:c r="M125" s="49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8"/>
      <x:c r="X125" s="48"/>
      <x:c r="Y125" s="48"/>
      <x:c r="Z125" s="48"/>
    </x:row>
    <x:row r="126">
      <x:c r="A126" s="49"/>
      <x:c r="B126" s="49"/>
      <x:c r="C126" s="49"/>
      <x:c r="D126" s="49"/>
      <x:c r="E126" s="49"/>
      <x:c r="F126" s="49"/>
      <x:c r="G126" s="49"/>
      <x:c r="H126" s="49"/>
      <x:c r="I126" s="56"/>
      <x:c r="J126" s="49"/>
      <x:c r="K126" s="49"/>
      <x:c r="L126" s="49"/>
      <x:c r="M126" s="49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8"/>
      <x:c r="X126" s="48"/>
      <x:c r="Y126" s="48"/>
      <x:c r="Z126" s="48"/>
    </x:row>
    <x:row r="127">
      <x:c r="A127" s="49"/>
      <x:c r="B127" s="49"/>
      <x:c r="C127" s="49"/>
      <x:c r="D127" s="49"/>
      <x:c r="E127" s="49"/>
      <x:c r="F127" s="49"/>
      <x:c r="G127" s="49"/>
      <x:c r="H127" s="49"/>
      <x:c r="I127" s="56"/>
      <x:c r="J127" s="49"/>
      <x:c r="K127" s="49"/>
      <x:c r="L127" s="49"/>
      <x:c r="M127" s="49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8"/>
      <x:c r="X127" s="48"/>
      <x:c r="Y127" s="48"/>
      <x:c r="Z127" s="48"/>
    </x:row>
    <x:row r="128">
      <x:c r="A128" s="49"/>
      <x:c r="B128" s="49"/>
      <x:c r="C128" s="49"/>
      <x:c r="D128" s="49"/>
      <x:c r="E128" s="49"/>
      <x:c r="F128" s="49"/>
      <x:c r="G128" s="49"/>
      <x:c r="H128" s="49"/>
      <x:c r="I128" s="56"/>
      <x:c r="J128" s="49"/>
      <x:c r="K128" s="49"/>
      <x:c r="L128" s="49"/>
      <x:c r="M128" s="49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8"/>
      <x:c r="X128" s="48"/>
      <x:c r="Y128" s="48"/>
      <x:c r="Z128" s="48"/>
    </x:row>
    <x:row r="129">
      <x:c r="A129" s="49"/>
      <x:c r="B129" s="49"/>
      <x:c r="C129" s="49"/>
      <x:c r="D129" s="49"/>
      <x:c r="E129" s="49"/>
      <x:c r="F129" s="49"/>
      <x:c r="G129" s="49"/>
      <x:c r="H129" s="49"/>
      <x:c r="I129" s="56"/>
      <x:c r="J129" s="49"/>
      <x:c r="K129" s="49"/>
      <x:c r="L129" s="49"/>
      <x:c r="M129" s="49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8"/>
      <x:c r="X129" s="48"/>
      <x:c r="Y129" s="48"/>
      <x:c r="Z129" s="48"/>
    </x:row>
    <x:row r="130">
      <x:c r="A130" s="49"/>
      <x:c r="B130" s="49"/>
      <x:c r="C130" s="49"/>
      <x:c r="D130" s="49"/>
      <x:c r="E130" s="49"/>
      <x:c r="F130" s="49"/>
      <x:c r="G130" s="49"/>
      <x:c r="H130" s="49"/>
      <x:c r="I130" s="56"/>
      <x:c r="J130" s="49"/>
      <x:c r="K130" s="49"/>
      <x:c r="L130" s="49"/>
      <x:c r="M130" s="49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8"/>
      <x:c r="X130" s="48"/>
      <x:c r="Y130" s="48"/>
      <x:c r="Z130" s="48"/>
    </x:row>
    <x:row r="131">
      <x:c r="A131" s="49"/>
      <x:c r="B131" s="49"/>
      <x:c r="C131" s="49"/>
      <x:c r="D131" s="49"/>
      <x:c r="E131" s="49"/>
      <x:c r="F131" s="49"/>
      <x:c r="G131" s="49"/>
      <x:c r="H131" s="49"/>
      <x:c r="I131" s="56"/>
      <x:c r="J131" s="49"/>
      <x:c r="K131" s="49"/>
      <x:c r="L131" s="49"/>
      <x:c r="M131" s="49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8"/>
      <x:c r="X131" s="48"/>
      <x:c r="Y131" s="48"/>
      <x:c r="Z131" s="48"/>
    </x:row>
    <x:row r="132">
      <x:c r="A132" s="49"/>
      <x:c r="B132" s="49"/>
      <x:c r="C132" s="49"/>
      <x:c r="D132" s="49"/>
      <x:c r="E132" s="49"/>
      <x:c r="F132" s="49"/>
      <x:c r="G132" s="49"/>
      <x:c r="H132" s="49"/>
      <x:c r="I132" s="56"/>
      <x:c r="J132" s="49"/>
      <x:c r="K132" s="49"/>
      <x:c r="L132" s="49"/>
      <x:c r="M132" s="49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8"/>
      <x:c r="X132" s="48"/>
      <x:c r="Y132" s="48"/>
      <x:c r="Z132" s="48"/>
    </x:row>
    <x:row r="133">
      <x:c r="A133" s="49"/>
      <x:c r="B133" s="49"/>
      <x:c r="C133" s="49"/>
      <x:c r="D133" s="49"/>
      <x:c r="E133" s="49"/>
      <x:c r="F133" s="49"/>
      <x:c r="G133" s="49"/>
      <x:c r="H133" s="49"/>
      <x:c r="I133" s="56"/>
      <x:c r="J133" s="49"/>
      <x:c r="K133" s="49"/>
      <x:c r="L133" s="49"/>
      <x:c r="M133" s="49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8"/>
      <x:c r="X133" s="48"/>
      <x:c r="Y133" s="48"/>
      <x:c r="Z133" s="48"/>
    </x:row>
    <x:row r="134">
      <x:c r="A134" s="49"/>
      <x:c r="B134" s="49"/>
      <x:c r="C134" s="49"/>
      <x:c r="D134" s="49"/>
      <x:c r="E134" s="49"/>
      <x:c r="F134" s="49"/>
      <x:c r="G134" s="49"/>
      <x:c r="H134" s="49"/>
      <x:c r="I134" s="56"/>
      <x:c r="J134" s="49"/>
      <x:c r="K134" s="49"/>
      <x:c r="L134" s="49"/>
      <x:c r="M134" s="49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8"/>
      <x:c r="X134" s="48"/>
      <x:c r="Y134" s="48"/>
      <x:c r="Z134" s="48"/>
    </x:row>
    <x:row r="135">
      <x:c r="A135" s="49"/>
      <x:c r="B135" s="49"/>
      <x:c r="C135" s="49"/>
      <x:c r="D135" s="49"/>
      <x:c r="E135" s="49"/>
      <x:c r="F135" s="49"/>
      <x:c r="G135" s="49"/>
      <x:c r="H135" s="49"/>
      <x:c r="I135" s="56"/>
      <x:c r="J135" s="49"/>
      <x:c r="K135" s="49"/>
      <x:c r="L135" s="49"/>
      <x:c r="M135" s="49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8"/>
      <x:c r="X135" s="48"/>
      <x:c r="Y135" s="48"/>
      <x:c r="Z135" s="48"/>
    </x:row>
    <x:row r="136">
      <x:c r="A136" s="49"/>
      <x:c r="B136" s="49"/>
      <x:c r="C136" s="49"/>
      <x:c r="D136" s="49"/>
      <x:c r="E136" s="49"/>
      <x:c r="F136" s="49"/>
      <x:c r="G136" s="49"/>
      <x:c r="H136" s="49"/>
      <x:c r="I136" s="56"/>
      <x:c r="J136" s="49"/>
      <x:c r="K136" s="49"/>
      <x:c r="L136" s="49"/>
      <x:c r="M136" s="49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8"/>
      <x:c r="X136" s="48"/>
      <x:c r="Y136" s="48"/>
      <x:c r="Z136" s="48"/>
    </x:row>
    <x:row r="137">
      <x:c r="A137" s="49"/>
      <x:c r="B137" s="49"/>
      <x:c r="C137" s="49"/>
      <x:c r="D137" s="49"/>
      <x:c r="E137" s="49"/>
      <x:c r="F137" s="49"/>
      <x:c r="G137" s="49"/>
      <x:c r="H137" s="49"/>
      <x:c r="I137" s="56"/>
      <x:c r="J137" s="49"/>
      <x:c r="K137" s="49"/>
      <x:c r="L137" s="49"/>
      <x:c r="M137" s="49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8"/>
      <x:c r="X137" s="48"/>
      <x:c r="Y137" s="48"/>
      <x:c r="Z137" s="48"/>
    </x:row>
    <x:row r="138">
      <x:c r="A138" s="49"/>
      <x:c r="B138" s="49"/>
      <x:c r="C138" s="49"/>
      <x:c r="D138" s="49"/>
      <x:c r="E138" s="49"/>
      <x:c r="F138" s="49"/>
      <x:c r="G138" s="49"/>
      <x:c r="H138" s="49"/>
      <x:c r="I138" s="56"/>
      <x:c r="J138" s="49"/>
      <x:c r="K138" s="49"/>
      <x:c r="L138" s="49"/>
      <x:c r="M138" s="49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8"/>
      <x:c r="X138" s="48"/>
      <x:c r="Y138" s="48"/>
      <x:c r="Z138" s="48"/>
    </x:row>
    <x:row r="139">
      <x:c r="A139" s="49"/>
      <x:c r="B139" s="49"/>
      <x:c r="C139" s="49"/>
      <x:c r="D139" s="49"/>
      <x:c r="E139" s="49"/>
      <x:c r="F139" s="49"/>
      <x:c r="G139" s="49"/>
      <x:c r="H139" s="49"/>
      <x:c r="I139" s="56"/>
      <x:c r="J139" s="49"/>
      <x:c r="K139" s="49"/>
      <x:c r="L139" s="49"/>
      <x:c r="M139" s="49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8"/>
      <x:c r="X139" s="48"/>
      <x:c r="Y139" s="48"/>
      <x:c r="Z139" s="48"/>
    </x:row>
    <x:row r="140">
      <x:c r="A140" s="49"/>
      <x:c r="B140" s="49"/>
      <x:c r="C140" s="49"/>
      <x:c r="D140" s="49"/>
      <x:c r="E140" s="49"/>
      <x:c r="F140" s="49"/>
      <x:c r="G140" s="49"/>
      <x:c r="H140" s="49"/>
      <x:c r="I140" s="56"/>
      <x:c r="J140" s="49"/>
      <x:c r="K140" s="49"/>
      <x:c r="L140" s="49"/>
      <x:c r="M140" s="49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8"/>
      <x:c r="X140" s="48"/>
      <x:c r="Y140" s="48"/>
      <x:c r="Z140" s="48"/>
    </x:row>
    <x:row r="141">
      <x:c r="A141" s="49"/>
      <x:c r="B141" s="49"/>
      <x:c r="C141" s="49"/>
      <x:c r="D141" s="49"/>
      <x:c r="E141" s="49"/>
      <x:c r="F141" s="49"/>
      <x:c r="G141" s="49"/>
      <x:c r="H141" s="49"/>
      <x:c r="I141" s="56"/>
      <x:c r="J141" s="49"/>
      <x:c r="K141" s="49"/>
      <x:c r="L141" s="49"/>
      <x:c r="M141" s="49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8"/>
      <x:c r="X141" s="48"/>
      <x:c r="Y141" s="48"/>
      <x:c r="Z141" s="48"/>
    </x:row>
    <x:row r="142">
      <x:c r="A142" s="49"/>
      <x:c r="B142" s="49"/>
      <x:c r="C142" s="49"/>
      <x:c r="D142" s="49"/>
      <x:c r="E142" s="49"/>
      <x:c r="F142" s="49"/>
      <x:c r="G142" s="49"/>
      <x:c r="H142" s="49"/>
      <x:c r="I142" s="56"/>
      <x:c r="J142" s="49"/>
      <x:c r="K142" s="49"/>
      <x:c r="L142" s="49"/>
      <x:c r="M142" s="49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8"/>
      <x:c r="X142" s="48"/>
      <x:c r="Y142" s="48"/>
      <x:c r="Z142" s="48"/>
    </x:row>
    <x:row r="143">
      <x:c r="A143" s="49"/>
      <x:c r="B143" s="49"/>
      <x:c r="C143" s="49"/>
      <x:c r="D143" s="49"/>
      <x:c r="E143" s="49"/>
      <x:c r="F143" s="49"/>
      <x:c r="G143" s="49"/>
      <x:c r="H143" s="49"/>
      <x:c r="I143" s="56"/>
      <x:c r="J143" s="49"/>
      <x:c r="K143" s="49"/>
      <x:c r="L143" s="49"/>
      <x:c r="M143" s="49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8"/>
      <x:c r="X143" s="48"/>
      <x:c r="Y143" s="48"/>
      <x:c r="Z143" s="48"/>
    </x:row>
    <x:row r="144">
      <x:c r="A144" s="49"/>
      <x:c r="B144" s="49"/>
      <x:c r="C144" s="49"/>
      <x:c r="D144" s="49"/>
      <x:c r="E144" s="49"/>
      <x:c r="F144" s="49"/>
      <x:c r="G144" s="49"/>
      <x:c r="H144" s="49"/>
      <x:c r="I144" s="56"/>
      <x:c r="J144" s="49"/>
      <x:c r="K144" s="49"/>
      <x:c r="L144" s="49"/>
      <x:c r="M144" s="49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8"/>
      <x:c r="X144" s="48"/>
      <x:c r="Y144" s="48"/>
      <x:c r="Z144" s="48"/>
    </x:row>
    <x:row r="145">
      <x:c r="A145" s="49"/>
      <x:c r="B145" s="49"/>
      <x:c r="C145" s="49"/>
      <x:c r="D145" s="49"/>
      <x:c r="E145" s="49"/>
      <x:c r="F145" s="49"/>
      <x:c r="G145" s="49"/>
      <x:c r="H145" s="49"/>
      <x:c r="I145" s="56"/>
      <x:c r="J145" s="49"/>
      <x:c r="K145" s="49"/>
      <x:c r="L145" s="49"/>
      <x:c r="M145" s="49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8"/>
      <x:c r="X145" s="48"/>
      <x:c r="Y145" s="48"/>
      <x:c r="Z145" s="48"/>
    </x:row>
    <x:row r="146">
      <x:c r="A146" s="49"/>
      <x:c r="B146" s="49"/>
      <x:c r="C146" s="49"/>
      <x:c r="D146" s="49"/>
      <x:c r="E146" s="49"/>
      <x:c r="F146" s="49"/>
      <x:c r="G146" s="49"/>
      <x:c r="H146" s="49"/>
      <x:c r="I146" s="56"/>
      <x:c r="J146" s="49"/>
      <x:c r="K146" s="49"/>
      <x:c r="L146" s="49"/>
      <x:c r="M146" s="49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8"/>
      <x:c r="X146" s="48"/>
      <x:c r="Y146" s="48"/>
      <x:c r="Z146" s="48"/>
    </x:row>
    <x:row r="147">
      <x:c r="A147" s="49"/>
      <x:c r="B147" s="49"/>
      <x:c r="C147" s="49"/>
      <x:c r="D147" s="49"/>
      <x:c r="E147" s="49"/>
      <x:c r="F147" s="49"/>
      <x:c r="G147" s="49"/>
      <x:c r="H147" s="49"/>
      <x:c r="I147" s="56"/>
      <x:c r="J147" s="49"/>
      <x:c r="K147" s="49"/>
      <x:c r="L147" s="49"/>
      <x:c r="M147" s="49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8"/>
      <x:c r="X147" s="48"/>
      <x:c r="Y147" s="48"/>
      <x:c r="Z147" s="48"/>
    </x:row>
    <x:row r="148">
      <x:c r="A148" s="49"/>
      <x:c r="B148" s="49"/>
      <x:c r="C148" s="49"/>
      <x:c r="D148" s="49"/>
      <x:c r="E148" s="49"/>
      <x:c r="F148" s="49"/>
      <x:c r="G148" s="49"/>
      <x:c r="H148" s="49"/>
      <x:c r="I148" s="56"/>
      <x:c r="J148" s="49"/>
      <x:c r="K148" s="49"/>
      <x:c r="L148" s="49"/>
      <x:c r="M148" s="49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8"/>
      <x:c r="X148" s="48"/>
      <x:c r="Y148" s="48"/>
      <x:c r="Z148" s="48"/>
    </x:row>
    <x:row r="149">
      <x:c r="A149" s="49"/>
      <x:c r="B149" s="49"/>
      <x:c r="C149" s="49"/>
      <x:c r="D149" s="49"/>
      <x:c r="E149" s="49"/>
      <x:c r="F149" s="49"/>
      <x:c r="G149" s="49"/>
      <x:c r="H149" s="49"/>
      <x:c r="I149" s="56"/>
      <x:c r="J149" s="49"/>
      <x:c r="K149" s="49"/>
      <x:c r="L149" s="49"/>
      <x:c r="M149" s="49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8"/>
      <x:c r="X149" s="48"/>
      <x:c r="Y149" s="48"/>
      <x:c r="Z149" s="48"/>
    </x:row>
    <x:row r="150">
      <x:c r="A150" s="49"/>
      <x:c r="B150" s="49"/>
      <x:c r="C150" s="49"/>
      <x:c r="D150" s="49"/>
      <x:c r="E150" s="49"/>
      <x:c r="F150" s="49"/>
      <x:c r="G150" s="49"/>
      <x:c r="H150" s="49"/>
      <x:c r="I150" s="56"/>
      <x:c r="J150" s="49"/>
      <x:c r="K150" s="49"/>
      <x:c r="L150" s="49"/>
      <x:c r="M150" s="49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8"/>
      <x:c r="X150" s="48"/>
      <x:c r="Y150" s="48"/>
      <x:c r="Z150" s="48"/>
    </x:row>
    <x:row r="151">
      <x:c r="A151" s="49"/>
      <x:c r="B151" s="49"/>
      <x:c r="C151" s="49"/>
      <x:c r="D151" s="49"/>
      <x:c r="E151" s="49"/>
      <x:c r="F151" s="49"/>
      <x:c r="G151" s="49"/>
      <x:c r="H151" s="49"/>
      <x:c r="I151" s="56"/>
      <x:c r="J151" s="49"/>
      <x:c r="K151" s="49"/>
      <x:c r="L151" s="49"/>
      <x:c r="M151" s="49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8"/>
      <x:c r="X151" s="48"/>
      <x:c r="Y151" s="48"/>
      <x:c r="Z151" s="48"/>
    </x:row>
    <x:row r="152">
      <x:c r="A152" s="49"/>
      <x:c r="B152" s="49"/>
      <x:c r="C152" s="49"/>
      <x:c r="D152" s="49"/>
      <x:c r="E152" s="49"/>
      <x:c r="F152" s="49"/>
      <x:c r="G152" s="49"/>
      <x:c r="H152" s="49"/>
      <x:c r="I152" s="56"/>
      <x:c r="J152" s="49"/>
      <x:c r="K152" s="49"/>
      <x:c r="L152" s="49"/>
      <x:c r="M152" s="49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8"/>
      <x:c r="X152" s="48"/>
      <x:c r="Y152" s="48"/>
      <x:c r="Z152" s="48"/>
    </x:row>
    <x:row r="153">
      <x:c r="A153" s="49"/>
      <x:c r="B153" s="49"/>
      <x:c r="C153" s="49"/>
      <x:c r="D153" s="49"/>
      <x:c r="E153" s="49"/>
      <x:c r="F153" s="49"/>
      <x:c r="G153" s="49"/>
      <x:c r="H153" s="49"/>
      <x:c r="I153" s="56"/>
      <x:c r="J153" s="49"/>
      <x:c r="K153" s="49"/>
      <x:c r="L153" s="49"/>
      <x:c r="M153" s="49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8"/>
      <x:c r="X153" s="48"/>
      <x:c r="Y153" s="48"/>
      <x:c r="Z153" s="48"/>
    </x:row>
    <x:row r="154">
      <x:c r="A154" s="49"/>
      <x:c r="B154" s="49"/>
      <x:c r="C154" s="49"/>
      <x:c r="D154" s="49"/>
      <x:c r="E154" s="49"/>
      <x:c r="F154" s="49"/>
      <x:c r="G154" s="49"/>
      <x:c r="H154" s="49"/>
      <x:c r="I154" s="56"/>
      <x:c r="J154" s="49"/>
      <x:c r="K154" s="49"/>
      <x:c r="L154" s="49"/>
      <x:c r="M154" s="49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8"/>
      <x:c r="X154" s="48"/>
      <x:c r="Y154" s="48"/>
      <x:c r="Z154" s="48"/>
    </x:row>
    <x:row r="155">
      <x:c r="A155" s="49"/>
      <x:c r="B155" s="49"/>
      <x:c r="C155" s="49"/>
      <x:c r="D155" s="49"/>
      <x:c r="E155" s="49"/>
      <x:c r="F155" s="49"/>
      <x:c r="G155" s="49"/>
      <x:c r="H155" s="49"/>
      <x:c r="I155" s="56"/>
      <x:c r="J155" s="49"/>
      <x:c r="K155" s="49"/>
      <x:c r="L155" s="49"/>
      <x:c r="M155" s="49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8"/>
      <x:c r="X155" s="48"/>
      <x:c r="Y155" s="48"/>
      <x:c r="Z155" s="48"/>
    </x:row>
    <x:row r="156">
      <x:c r="A156" s="49"/>
      <x:c r="B156" s="49"/>
      <x:c r="C156" s="49"/>
      <x:c r="D156" s="49"/>
      <x:c r="E156" s="49"/>
      <x:c r="F156" s="49"/>
      <x:c r="G156" s="49"/>
      <x:c r="H156" s="49"/>
      <x:c r="I156" s="56"/>
      <x:c r="J156" s="49"/>
      <x:c r="K156" s="49"/>
      <x:c r="L156" s="49"/>
      <x:c r="M156" s="49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8"/>
      <x:c r="X156" s="48"/>
      <x:c r="Y156" s="48"/>
      <x:c r="Z156" s="48"/>
    </x:row>
    <x:row r="157">
      <x:c r="A157" s="49"/>
      <x:c r="B157" s="49"/>
      <x:c r="C157" s="49"/>
      <x:c r="D157" s="49"/>
      <x:c r="E157" s="49"/>
      <x:c r="F157" s="49"/>
      <x:c r="G157" s="49"/>
      <x:c r="H157" s="49"/>
      <x:c r="I157" s="56"/>
      <x:c r="J157" s="49"/>
      <x:c r="K157" s="49"/>
      <x:c r="L157" s="49"/>
      <x:c r="M157" s="49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8"/>
      <x:c r="X157" s="48"/>
      <x:c r="Y157" s="48"/>
      <x:c r="Z157" s="48"/>
    </x:row>
    <x:row r="158">
      <x:c r="A158" s="49"/>
      <x:c r="B158" s="49"/>
      <x:c r="C158" s="49"/>
      <x:c r="D158" s="49"/>
      <x:c r="E158" s="49"/>
      <x:c r="F158" s="49"/>
      <x:c r="G158" s="49"/>
      <x:c r="H158" s="49"/>
      <x:c r="I158" s="56"/>
      <x:c r="J158" s="49"/>
      <x:c r="K158" s="49"/>
      <x:c r="L158" s="49"/>
      <x:c r="M158" s="49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8"/>
      <x:c r="X158" s="48"/>
      <x:c r="Y158" s="48"/>
      <x:c r="Z158" s="48"/>
    </x:row>
    <x:row r="159">
      <x:c r="A159" s="49"/>
      <x:c r="B159" s="49"/>
      <x:c r="C159" s="49"/>
      <x:c r="D159" s="49"/>
      <x:c r="E159" s="49"/>
      <x:c r="F159" s="49"/>
      <x:c r="G159" s="49"/>
      <x:c r="H159" s="49"/>
      <x:c r="I159" s="56"/>
      <x:c r="J159" s="49"/>
      <x:c r="K159" s="49"/>
      <x:c r="L159" s="49"/>
      <x:c r="M159" s="49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8"/>
      <x:c r="X159" s="48"/>
      <x:c r="Y159" s="48"/>
      <x:c r="Z159" s="48"/>
    </x:row>
    <x:row r="160">
      <x:c r="A160" s="49"/>
      <x:c r="B160" s="49"/>
      <x:c r="C160" s="49"/>
      <x:c r="D160" s="49"/>
      <x:c r="E160" s="49"/>
      <x:c r="F160" s="49"/>
      <x:c r="G160" s="49"/>
      <x:c r="H160" s="49"/>
      <x:c r="I160" s="56"/>
      <x:c r="J160" s="49"/>
      <x:c r="K160" s="49"/>
      <x:c r="L160" s="49"/>
      <x:c r="M160" s="49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8"/>
      <x:c r="X160" s="48"/>
      <x:c r="Y160" s="48"/>
      <x:c r="Z160" s="48"/>
    </x:row>
    <x:row r="161">
      <x:c r="A161" s="49"/>
      <x:c r="B161" s="49"/>
      <x:c r="C161" s="49"/>
      <x:c r="D161" s="49"/>
      <x:c r="E161" s="49"/>
      <x:c r="F161" s="49"/>
      <x:c r="G161" s="49"/>
      <x:c r="H161" s="49"/>
      <x:c r="I161" s="56"/>
      <x:c r="J161" s="49"/>
      <x:c r="K161" s="49"/>
      <x:c r="L161" s="49"/>
      <x:c r="M161" s="49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8"/>
      <x:c r="X161" s="48"/>
      <x:c r="Y161" s="48"/>
      <x:c r="Z161" s="48"/>
    </x:row>
    <x:row r="162">
      <x:c r="A162" s="49"/>
      <x:c r="B162" s="49"/>
      <x:c r="C162" s="49"/>
      <x:c r="D162" s="49"/>
      <x:c r="E162" s="49"/>
      <x:c r="F162" s="49"/>
      <x:c r="G162" s="49"/>
      <x:c r="H162" s="49"/>
      <x:c r="I162" s="56"/>
      <x:c r="J162" s="49"/>
      <x:c r="K162" s="49"/>
      <x:c r="L162" s="49"/>
      <x:c r="M162" s="49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8"/>
      <x:c r="X162" s="48"/>
      <x:c r="Y162" s="48"/>
      <x:c r="Z162" s="48"/>
    </x:row>
    <x:row r="163">
      <x:c r="A163" s="49"/>
      <x:c r="B163" s="49"/>
      <x:c r="C163" s="49"/>
      <x:c r="D163" s="49"/>
      <x:c r="E163" s="49"/>
      <x:c r="F163" s="49"/>
      <x:c r="G163" s="49"/>
      <x:c r="H163" s="49"/>
      <x:c r="I163" s="56"/>
      <x:c r="J163" s="49"/>
      <x:c r="K163" s="49"/>
      <x:c r="L163" s="49"/>
      <x:c r="M163" s="49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8"/>
      <x:c r="X163" s="48"/>
      <x:c r="Y163" s="48"/>
      <x:c r="Z163" s="48"/>
    </x:row>
    <x:row r="164">
      <x:c r="A164" s="49"/>
      <x:c r="B164" s="49"/>
      <x:c r="C164" s="49"/>
      <x:c r="D164" s="49"/>
      <x:c r="E164" s="49"/>
      <x:c r="F164" s="49"/>
      <x:c r="G164" s="49"/>
      <x:c r="H164" s="49"/>
      <x:c r="I164" s="56"/>
      <x:c r="J164" s="49"/>
      <x:c r="K164" s="49"/>
      <x:c r="L164" s="49"/>
      <x:c r="M164" s="49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8"/>
      <x:c r="X164" s="48"/>
      <x:c r="Y164" s="48"/>
      <x:c r="Z164" s="48"/>
    </x:row>
    <x:row r="165">
      <x:c r="A165" s="49"/>
      <x:c r="B165" s="49"/>
      <x:c r="C165" s="49"/>
      <x:c r="D165" s="49"/>
      <x:c r="E165" s="49"/>
      <x:c r="F165" s="49"/>
      <x:c r="G165" s="49"/>
      <x:c r="H165" s="49"/>
      <x:c r="I165" s="56"/>
      <x:c r="J165" s="49"/>
      <x:c r="K165" s="49"/>
      <x:c r="L165" s="49"/>
      <x:c r="M165" s="49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8"/>
      <x:c r="X165" s="48"/>
      <x:c r="Y165" s="48"/>
      <x:c r="Z165" s="48"/>
    </x:row>
    <x:row r="166">
      <x:c r="A166" s="49"/>
      <x:c r="B166" s="49"/>
      <x:c r="C166" s="49"/>
      <x:c r="D166" s="49"/>
      <x:c r="E166" s="49"/>
      <x:c r="F166" s="49"/>
      <x:c r="G166" s="49"/>
      <x:c r="H166" s="49"/>
      <x:c r="I166" s="56"/>
      <x:c r="J166" s="49"/>
      <x:c r="K166" s="49"/>
      <x:c r="L166" s="49"/>
      <x:c r="M166" s="49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8"/>
      <x:c r="X166" s="48"/>
      <x:c r="Y166" s="48"/>
      <x:c r="Z166" s="48"/>
    </x:row>
    <x:row r="167">
      <x:c r="A167" s="49"/>
      <x:c r="B167" s="49"/>
      <x:c r="C167" s="49"/>
      <x:c r="D167" s="49"/>
      <x:c r="E167" s="49"/>
      <x:c r="F167" s="49"/>
      <x:c r="G167" s="49"/>
      <x:c r="H167" s="49"/>
      <x:c r="I167" s="56"/>
      <x:c r="J167" s="49"/>
      <x:c r="K167" s="49"/>
      <x:c r="L167" s="49"/>
      <x:c r="M167" s="49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8"/>
      <x:c r="X167" s="48"/>
      <x:c r="Y167" s="48"/>
      <x:c r="Z167" s="48"/>
    </x:row>
    <x:row r="168">
      <x:c r="A168" s="49"/>
      <x:c r="B168" s="49"/>
      <x:c r="C168" s="49"/>
      <x:c r="D168" s="49"/>
      <x:c r="E168" s="49"/>
      <x:c r="F168" s="49"/>
      <x:c r="G168" s="49"/>
      <x:c r="H168" s="49"/>
      <x:c r="I168" s="56"/>
      <x:c r="J168" s="49"/>
      <x:c r="K168" s="49"/>
      <x:c r="L168" s="49"/>
      <x:c r="M168" s="49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8"/>
      <x:c r="X168" s="48"/>
      <x:c r="Y168" s="48"/>
      <x:c r="Z168" s="48"/>
    </x:row>
    <x:row r="169">
      <x:c r="A169" s="49"/>
      <x:c r="B169" s="49"/>
      <x:c r="C169" s="49"/>
      <x:c r="D169" s="49"/>
      <x:c r="E169" s="49"/>
      <x:c r="F169" s="49"/>
      <x:c r="G169" s="49"/>
      <x:c r="H169" s="49"/>
      <x:c r="I169" s="56"/>
      <x:c r="J169" s="49"/>
      <x:c r="K169" s="49"/>
      <x:c r="L169" s="49"/>
      <x:c r="M169" s="49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8"/>
      <x:c r="X169" s="48"/>
      <x:c r="Y169" s="48"/>
      <x:c r="Z169" s="48"/>
    </x:row>
    <x:row r="170">
      <x:c r="A170" s="49"/>
      <x:c r="B170" s="49"/>
      <x:c r="C170" s="49"/>
      <x:c r="D170" s="49"/>
      <x:c r="E170" s="49"/>
      <x:c r="F170" s="49"/>
      <x:c r="G170" s="49"/>
      <x:c r="H170" s="49"/>
      <x:c r="I170" s="56"/>
      <x:c r="J170" s="49"/>
      <x:c r="K170" s="49"/>
      <x:c r="L170" s="49"/>
      <x:c r="M170" s="49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8"/>
      <x:c r="X170" s="48"/>
      <x:c r="Y170" s="48"/>
      <x:c r="Z170" s="48"/>
    </x:row>
    <x:row r="171">
      <x:c r="A171" s="49"/>
      <x:c r="B171" s="49"/>
      <x:c r="C171" s="49"/>
      <x:c r="D171" s="49"/>
      <x:c r="E171" s="49"/>
      <x:c r="F171" s="49"/>
      <x:c r="G171" s="49"/>
      <x:c r="H171" s="49"/>
      <x:c r="I171" s="56"/>
      <x:c r="J171" s="49"/>
      <x:c r="K171" s="49"/>
      <x:c r="L171" s="49"/>
      <x:c r="M171" s="49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8"/>
      <x:c r="X171" s="48"/>
      <x:c r="Y171" s="48"/>
      <x:c r="Z171" s="48"/>
    </x:row>
    <x:row r="172">
      <x:c r="A172" s="49"/>
      <x:c r="B172" s="49"/>
      <x:c r="C172" s="49"/>
      <x:c r="D172" s="49"/>
      <x:c r="E172" s="49"/>
      <x:c r="F172" s="49"/>
      <x:c r="G172" s="49"/>
      <x:c r="H172" s="49"/>
      <x:c r="I172" s="56"/>
      <x:c r="J172" s="49"/>
      <x:c r="K172" s="49"/>
      <x:c r="L172" s="49"/>
      <x:c r="M172" s="49"/>
      <x:c r="N172" s="48"/>
      <x:c r="O172" s="48"/>
      <x:c r="P172" s="48"/>
      <x:c r="Q172" s="48"/>
      <x:c r="R172" s="48"/>
      <x:c r="S172" s="48"/>
      <x:c r="T172" s="48"/>
      <x:c r="U172" s="48"/>
      <x:c r="V172" s="48"/>
      <x:c r="W172" s="48"/>
      <x:c r="X172" s="48"/>
      <x:c r="Y172" s="48"/>
      <x:c r="Z172" s="48"/>
    </x:row>
    <x:row r="173">
      <x:c r="A173" s="49"/>
      <x:c r="B173" s="49"/>
      <x:c r="C173" s="49"/>
      <x:c r="D173" s="49"/>
      <x:c r="E173" s="49"/>
      <x:c r="F173" s="49"/>
      <x:c r="G173" s="49"/>
      <x:c r="H173" s="49"/>
      <x:c r="I173" s="56"/>
      <x:c r="J173" s="49"/>
      <x:c r="K173" s="49"/>
      <x:c r="L173" s="49"/>
      <x:c r="M173" s="49"/>
      <x:c r="N173" s="48"/>
      <x:c r="O173" s="48"/>
      <x:c r="P173" s="48"/>
      <x:c r="Q173" s="48"/>
      <x:c r="R173" s="48"/>
      <x:c r="S173" s="48"/>
      <x:c r="T173" s="48"/>
      <x:c r="U173" s="48"/>
      <x:c r="V173" s="48"/>
      <x:c r="W173" s="48"/>
      <x:c r="X173" s="48"/>
      <x:c r="Y173" s="48"/>
      <x:c r="Z173" s="48"/>
    </x:row>
    <x:row r="174">
      <x:c r="A174" s="49"/>
      <x:c r="B174" s="49"/>
      <x:c r="C174" s="49"/>
      <x:c r="D174" s="49"/>
      <x:c r="E174" s="49"/>
      <x:c r="F174" s="49"/>
      <x:c r="G174" s="49"/>
      <x:c r="H174" s="49"/>
      <x:c r="I174" s="56"/>
      <x:c r="J174" s="49"/>
      <x:c r="K174" s="49"/>
      <x:c r="L174" s="49"/>
      <x:c r="M174" s="49"/>
      <x:c r="N174" s="48"/>
      <x:c r="O174" s="48"/>
      <x:c r="P174" s="48"/>
      <x:c r="Q174" s="48"/>
      <x:c r="R174" s="48"/>
      <x:c r="S174" s="48"/>
      <x:c r="T174" s="48"/>
      <x:c r="U174" s="48"/>
      <x:c r="V174" s="48"/>
      <x:c r="W174" s="48"/>
      <x:c r="X174" s="48"/>
      <x:c r="Y174" s="48"/>
      <x:c r="Z174" s="48"/>
    </x:row>
    <x:row r="175">
      <x:c r="A175" s="49"/>
      <x:c r="B175" s="49"/>
      <x:c r="C175" s="49"/>
      <x:c r="D175" s="49"/>
      <x:c r="E175" s="49"/>
      <x:c r="F175" s="49"/>
      <x:c r="G175" s="49"/>
      <x:c r="H175" s="49"/>
      <x:c r="I175" s="56"/>
      <x:c r="J175" s="49"/>
      <x:c r="K175" s="49"/>
      <x:c r="L175" s="49"/>
      <x:c r="M175" s="49"/>
      <x:c r="N175" s="48"/>
      <x:c r="O175" s="48"/>
      <x:c r="P175" s="48"/>
      <x:c r="Q175" s="48"/>
      <x:c r="R175" s="48"/>
      <x:c r="S175" s="48"/>
      <x:c r="T175" s="48"/>
      <x:c r="U175" s="48"/>
      <x:c r="V175" s="48"/>
      <x:c r="W175" s="48"/>
      <x:c r="X175" s="48"/>
      <x:c r="Y175" s="48"/>
      <x:c r="Z175" s="48"/>
    </x:row>
    <x:row r="176">
      <x:c r="A176" s="49"/>
      <x:c r="B176" s="49"/>
      <x:c r="C176" s="49"/>
      <x:c r="D176" s="49"/>
      <x:c r="E176" s="49"/>
      <x:c r="F176" s="49"/>
      <x:c r="G176" s="49"/>
      <x:c r="H176" s="49"/>
      <x:c r="I176" s="56"/>
      <x:c r="J176" s="49"/>
      <x:c r="K176" s="49"/>
      <x:c r="L176" s="49"/>
      <x:c r="M176" s="49"/>
      <x:c r="N176" s="48"/>
      <x:c r="O176" s="48"/>
      <x:c r="P176" s="48"/>
      <x:c r="Q176" s="48"/>
      <x:c r="R176" s="48"/>
      <x:c r="S176" s="48"/>
      <x:c r="T176" s="48"/>
      <x:c r="U176" s="48"/>
      <x:c r="V176" s="48"/>
      <x:c r="W176" s="48"/>
      <x:c r="X176" s="48"/>
      <x:c r="Y176" s="48"/>
      <x:c r="Z176" s="48"/>
    </x:row>
    <x:row r="177">
      <x:c r="A177" s="49"/>
      <x:c r="B177" s="49"/>
      <x:c r="C177" s="49"/>
      <x:c r="D177" s="49"/>
      <x:c r="E177" s="49"/>
      <x:c r="F177" s="49"/>
      <x:c r="G177" s="49"/>
      <x:c r="H177" s="49"/>
      <x:c r="I177" s="56"/>
      <x:c r="J177" s="49"/>
      <x:c r="K177" s="49"/>
      <x:c r="L177" s="49"/>
      <x:c r="M177" s="49"/>
      <x:c r="N177" s="48"/>
      <x:c r="O177" s="48"/>
      <x:c r="P177" s="48"/>
      <x:c r="Q177" s="48"/>
      <x:c r="R177" s="48"/>
      <x:c r="S177" s="48"/>
      <x:c r="T177" s="48"/>
      <x:c r="U177" s="48"/>
      <x:c r="V177" s="48"/>
      <x:c r="W177" s="48"/>
      <x:c r="X177" s="48"/>
      <x:c r="Y177" s="48"/>
      <x:c r="Z177" s="48"/>
    </x:row>
    <x:row r="178">
      <x:c r="A178" s="49"/>
      <x:c r="B178" s="49"/>
      <x:c r="C178" s="49"/>
      <x:c r="D178" s="49"/>
      <x:c r="E178" s="49"/>
      <x:c r="F178" s="49"/>
      <x:c r="G178" s="49"/>
      <x:c r="H178" s="49"/>
      <x:c r="I178" s="56"/>
      <x:c r="J178" s="49"/>
      <x:c r="K178" s="49"/>
      <x:c r="L178" s="49"/>
      <x:c r="M178" s="49"/>
      <x:c r="N178" s="48"/>
      <x:c r="O178" s="48"/>
      <x:c r="P178" s="48"/>
      <x:c r="Q178" s="48"/>
      <x:c r="R178" s="48"/>
      <x:c r="S178" s="48"/>
      <x:c r="T178" s="48"/>
      <x:c r="U178" s="48"/>
      <x:c r="V178" s="48"/>
      <x:c r="W178" s="48"/>
      <x:c r="X178" s="48"/>
      <x:c r="Y178" s="48"/>
      <x:c r="Z178" s="48"/>
    </x:row>
    <x:row r="179">
      <x:c r="A179" s="49"/>
      <x:c r="B179" s="49"/>
      <x:c r="C179" s="49"/>
      <x:c r="D179" s="49"/>
      <x:c r="E179" s="49"/>
      <x:c r="F179" s="49"/>
      <x:c r="G179" s="49"/>
      <x:c r="H179" s="49"/>
      <x:c r="I179" s="56"/>
      <x:c r="J179" s="49"/>
      <x:c r="K179" s="49"/>
      <x:c r="L179" s="49"/>
      <x:c r="M179" s="49"/>
      <x:c r="N179" s="48"/>
      <x:c r="O179" s="48"/>
      <x:c r="P179" s="48"/>
      <x:c r="Q179" s="48"/>
      <x:c r="R179" s="48"/>
      <x:c r="S179" s="48"/>
      <x:c r="T179" s="48"/>
      <x:c r="U179" s="48"/>
      <x:c r="V179" s="48"/>
      <x:c r="W179" s="48"/>
      <x:c r="X179" s="48"/>
      <x:c r="Y179" s="48"/>
      <x:c r="Z179" s="48"/>
    </x:row>
    <x:row r="180">
      <x:c r="A180" s="49"/>
      <x:c r="B180" s="49"/>
      <x:c r="C180" s="49"/>
      <x:c r="D180" s="49"/>
      <x:c r="E180" s="49"/>
      <x:c r="F180" s="49"/>
      <x:c r="G180" s="49"/>
      <x:c r="H180" s="49"/>
      <x:c r="I180" s="56"/>
      <x:c r="J180" s="49"/>
      <x:c r="K180" s="49"/>
      <x:c r="L180" s="49"/>
      <x:c r="M180" s="49"/>
      <x:c r="N180" s="48"/>
      <x:c r="O180" s="48"/>
      <x:c r="P180" s="48"/>
      <x:c r="Q180" s="48"/>
      <x:c r="R180" s="48"/>
      <x:c r="S180" s="48"/>
      <x:c r="T180" s="48"/>
      <x:c r="U180" s="48"/>
      <x:c r="V180" s="48"/>
      <x:c r="W180" s="48"/>
      <x:c r="X180" s="48"/>
      <x:c r="Y180" s="48"/>
      <x:c r="Z180" s="48"/>
    </x:row>
    <x:row r="181">
      <x:c r="A181" s="49"/>
      <x:c r="B181" s="49"/>
      <x:c r="C181" s="49"/>
      <x:c r="D181" s="49"/>
      <x:c r="E181" s="49"/>
      <x:c r="F181" s="49"/>
      <x:c r="G181" s="49"/>
      <x:c r="H181" s="49"/>
      <x:c r="I181" s="56"/>
      <x:c r="J181" s="49"/>
      <x:c r="K181" s="49"/>
      <x:c r="L181" s="49"/>
      <x:c r="M181" s="49"/>
      <x:c r="N181" s="48"/>
      <x:c r="O181" s="48"/>
      <x:c r="P181" s="48"/>
      <x:c r="Q181" s="48"/>
      <x:c r="R181" s="48"/>
      <x:c r="S181" s="48"/>
      <x:c r="T181" s="48"/>
      <x:c r="U181" s="48"/>
      <x:c r="V181" s="48"/>
      <x:c r="W181" s="48"/>
      <x:c r="X181" s="48"/>
      <x:c r="Y181" s="48"/>
      <x:c r="Z181" s="48"/>
    </x:row>
    <x:row r="182">
      <x:c r="A182" s="49"/>
      <x:c r="B182" s="49"/>
      <x:c r="C182" s="49"/>
      <x:c r="D182" s="49"/>
      <x:c r="E182" s="49"/>
      <x:c r="F182" s="49"/>
      <x:c r="G182" s="49"/>
      <x:c r="H182" s="49"/>
      <x:c r="I182" s="56"/>
      <x:c r="J182" s="49"/>
      <x:c r="K182" s="49"/>
      <x:c r="L182" s="49"/>
      <x:c r="M182" s="49"/>
      <x:c r="N182" s="48"/>
      <x:c r="O182" s="48"/>
      <x:c r="P182" s="48"/>
      <x:c r="Q182" s="48"/>
      <x:c r="R182" s="48"/>
      <x:c r="S182" s="48"/>
      <x:c r="T182" s="48"/>
      <x:c r="U182" s="48"/>
      <x:c r="V182" s="48"/>
      <x:c r="W182" s="48"/>
      <x:c r="X182" s="48"/>
      <x:c r="Y182" s="48"/>
      <x:c r="Z182" s="48"/>
    </x:row>
    <x:row r="183">
      <x:c r="A183" s="49"/>
      <x:c r="B183" s="49"/>
      <x:c r="C183" s="49"/>
      <x:c r="D183" s="49"/>
      <x:c r="E183" s="49"/>
      <x:c r="F183" s="49"/>
      <x:c r="G183" s="49"/>
      <x:c r="H183" s="49"/>
      <x:c r="I183" s="56"/>
      <x:c r="J183" s="49"/>
      <x:c r="K183" s="49"/>
      <x:c r="L183" s="49"/>
      <x:c r="M183" s="49"/>
      <x:c r="N183" s="48"/>
      <x:c r="O183" s="48"/>
      <x:c r="P183" s="48"/>
      <x:c r="Q183" s="48"/>
      <x:c r="R183" s="48"/>
      <x:c r="S183" s="48"/>
      <x:c r="T183" s="48"/>
      <x:c r="U183" s="48"/>
      <x:c r="V183" s="48"/>
      <x:c r="W183" s="48"/>
      <x:c r="X183" s="48"/>
      <x:c r="Y183" s="48"/>
      <x:c r="Z183" s="48"/>
    </x:row>
    <x:row r="184">
      <x:c r="A184" s="49"/>
      <x:c r="B184" s="49"/>
      <x:c r="C184" s="49"/>
      <x:c r="D184" s="49"/>
      <x:c r="E184" s="49"/>
      <x:c r="F184" s="49"/>
      <x:c r="G184" s="49"/>
      <x:c r="H184" s="49"/>
      <x:c r="I184" s="56"/>
      <x:c r="J184" s="49"/>
      <x:c r="K184" s="49"/>
      <x:c r="L184" s="49"/>
      <x:c r="M184" s="49"/>
      <x:c r="N184" s="48"/>
      <x:c r="O184" s="48"/>
      <x:c r="P184" s="48"/>
      <x:c r="Q184" s="48"/>
      <x:c r="R184" s="48"/>
      <x:c r="S184" s="48"/>
      <x:c r="T184" s="48"/>
      <x:c r="U184" s="48"/>
      <x:c r="V184" s="48"/>
      <x:c r="W184" s="48"/>
      <x:c r="X184" s="48"/>
      <x:c r="Y184" s="48"/>
      <x:c r="Z184" s="48"/>
    </x:row>
    <x:row r="185">
      <x:c r="A185" s="49"/>
      <x:c r="B185" s="49"/>
      <x:c r="C185" s="49"/>
      <x:c r="D185" s="49"/>
      <x:c r="E185" s="49"/>
      <x:c r="F185" s="49"/>
      <x:c r="G185" s="49"/>
      <x:c r="H185" s="49"/>
      <x:c r="I185" s="56"/>
      <x:c r="J185" s="49"/>
      <x:c r="K185" s="49"/>
      <x:c r="L185" s="49"/>
      <x:c r="M185" s="49"/>
      <x:c r="N185" s="48"/>
      <x:c r="O185" s="48"/>
      <x:c r="P185" s="48"/>
      <x:c r="Q185" s="48"/>
      <x:c r="R185" s="48"/>
      <x:c r="S185" s="48"/>
      <x:c r="T185" s="48"/>
      <x:c r="U185" s="48"/>
      <x:c r="V185" s="48"/>
      <x:c r="W185" s="48"/>
      <x:c r="X185" s="48"/>
      <x:c r="Y185" s="48"/>
      <x:c r="Z185" s="48"/>
    </x:row>
    <x:row r="186">
      <x:c r="A186" s="49"/>
      <x:c r="B186" s="49"/>
      <x:c r="C186" s="49"/>
      <x:c r="D186" s="49"/>
      <x:c r="E186" s="49"/>
      <x:c r="F186" s="49"/>
      <x:c r="G186" s="49"/>
      <x:c r="H186" s="49"/>
      <x:c r="I186" s="56"/>
      <x:c r="J186" s="49"/>
      <x:c r="K186" s="49"/>
      <x:c r="L186" s="49"/>
      <x:c r="M186" s="49"/>
      <x:c r="N186" s="48"/>
      <x:c r="O186" s="48"/>
      <x:c r="P186" s="48"/>
      <x:c r="Q186" s="48"/>
      <x:c r="R186" s="48"/>
      <x:c r="S186" s="48"/>
      <x:c r="T186" s="48"/>
      <x:c r="U186" s="48"/>
      <x:c r="V186" s="48"/>
      <x:c r="W186" s="48"/>
      <x:c r="X186" s="48"/>
      <x:c r="Y186" s="48"/>
      <x:c r="Z186" s="48"/>
    </x:row>
    <x:row r="187">
      <x:c r="A187" s="49"/>
      <x:c r="B187" s="49"/>
      <x:c r="C187" s="49"/>
      <x:c r="D187" s="49"/>
      <x:c r="E187" s="49"/>
      <x:c r="F187" s="49"/>
      <x:c r="G187" s="49"/>
      <x:c r="H187" s="49"/>
      <x:c r="I187" s="56"/>
      <x:c r="J187" s="49"/>
      <x:c r="K187" s="49"/>
      <x:c r="L187" s="49"/>
      <x:c r="M187" s="49"/>
      <x:c r="N187" s="48"/>
      <x:c r="O187" s="48"/>
      <x:c r="P187" s="48"/>
      <x:c r="Q187" s="48"/>
      <x:c r="R187" s="48"/>
      <x:c r="S187" s="48"/>
      <x:c r="T187" s="48"/>
      <x:c r="U187" s="48"/>
      <x:c r="V187" s="48"/>
      <x:c r="W187" s="48"/>
      <x:c r="X187" s="48"/>
      <x:c r="Y187" s="48"/>
      <x:c r="Z187" s="48"/>
    </x:row>
    <x:row r="188">
      <x:c r="A188" s="49"/>
      <x:c r="B188" s="49"/>
      <x:c r="C188" s="49"/>
      <x:c r="D188" s="49"/>
      <x:c r="E188" s="49"/>
      <x:c r="F188" s="49"/>
      <x:c r="G188" s="49"/>
      <x:c r="H188" s="49"/>
      <x:c r="I188" s="56"/>
      <x:c r="J188" s="49"/>
      <x:c r="K188" s="49"/>
      <x:c r="L188" s="49"/>
      <x:c r="M188" s="49"/>
      <x:c r="N188" s="48"/>
      <x:c r="O188" s="48"/>
      <x:c r="P188" s="48"/>
      <x:c r="Q188" s="48"/>
      <x:c r="R188" s="48"/>
      <x:c r="S188" s="48"/>
      <x:c r="T188" s="48"/>
      <x:c r="U188" s="48"/>
      <x:c r="V188" s="48"/>
      <x:c r="W188" s="48"/>
      <x:c r="X188" s="48"/>
      <x:c r="Y188" s="48"/>
      <x:c r="Z188" s="48"/>
    </x:row>
    <x:row r="189">
      <x:c r="A189" s="49"/>
      <x:c r="B189" s="49"/>
      <x:c r="C189" s="49"/>
      <x:c r="D189" s="49"/>
      <x:c r="E189" s="49"/>
      <x:c r="F189" s="49"/>
      <x:c r="G189" s="49"/>
      <x:c r="H189" s="49"/>
      <x:c r="I189" s="56"/>
      <x:c r="J189" s="49"/>
      <x:c r="K189" s="49"/>
      <x:c r="L189" s="49"/>
      <x:c r="M189" s="49"/>
      <x:c r="N189" s="48"/>
      <x:c r="O189" s="48"/>
      <x:c r="P189" s="48"/>
      <x:c r="Q189" s="48"/>
      <x:c r="R189" s="48"/>
      <x:c r="S189" s="48"/>
      <x:c r="T189" s="48"/>
      <x:c r="U189" s="48"/>
      <x:c r="V189" s="48"/>
      <x:c r="W189" s="48"/>
      <x:c r="X189" s="48"/>
      <x:c r="Y189" s="48"/>
      <x:c r="Z189" s="48"/>
    </x:row>
    <x:row r="190">
      <x:c r="A190" s="49"/>
      <x:c r="B190" s="49"/>
      <x:c r="C190" s="49"/>
      <x:c r="D190" s="49"/>
      <x:c r="E190" s="49"/>
      <x:c r="F190" s="49"/>
      <x:c r="G190" s="49"/>
      <x:c r="H190" s="49"/>
      <x:c r="I190" s="56"/>
      <x:c r="J190" s="49"/>
      <x:c r="K190" s="49"/>
      <x:c r="L190" s="49"/>
      <x:c r="M190" s="49"/>
      <x:c r="N190" s="48"/>
      <x:c r="O190" s="48"/>
      <x:c r="P190" s="48"/>
      <x:c r="Q190" s="48"/>
      <x:c r="R190" s="48"/>
      <x:c r="S190" s="48"/>
      <x:c r="T190" s="48"/>
      <x:c r="U190" s="48"/>
      <x:c r="V190" s="48"/>
      <x:c r="W190" s="48"/>
      <x:c r="X190" s="48"/>
      <x:c r="Y190" s="48"/>
      <x:c r="Z190" s="48"/>
    </x:row>
    <x:row r="191">
      <x:c r="A191" s="49"/>
      <x:c r="B191" s="49"/>
      <x:c r="C191" s="49"/>
      <x:c r="D191" s="49"/>
      <x:c r="E191" s="49"/>
      <x:c r="F191" s="49"/>
      <x:c r="G191" s="49"/>
      <x:c r="H191" s="49"/>
      <x:c r="I191" s="56"/>
      <x:c r="J191" s="49"/>
      <x:c r="K191" s="49"/>
      <x:c r="L191" s="49"/>
      <x:c r="M191" s="49"/>
      <x:c r="N191" s="48"/>
      <x:c r="O191" s="48"/>
      <x:c r="P191" s="48"/>
      <x:c r="Q191" s="48"/>
      <x:c r="R191" s="48"/>
      <x:c r="S191" s="48"/>
      <x:c r="T191" s="48"/>
      <x:c r="U191" s="48"/>
      <x:c r="V191" s="48"/>
      <x:c r="W191" s="48"/>
      <x:c r="X191" s="48"/>
      <x:c r="Y191" s="48"/>
      <x:c r="Z191" s="48"/>
    </x:row>
    <x:row r="192">
      <x:c r="A192" s="49"/>
      <x:c r="B192" s="49"/>
      <x:c r="C192" s="49"/>
      <x:c r="D192" s="49"/>
      <x:c r="E192" s="49"/>
      <x:c r="F192" s="49"/>
      <x:c r="G192" s="49"/>
      <x:c r="H192" s="49"/>
      <x:c r="I192" s="56"/>
      <x:c r="J192" s="49"/>
      <x:c r="K192" s="49"/>
      <x:c r="L192" s="49"/>
      <x:c r="M192" s="49"/>
      <x:c r="N192" s="48"/>
      <x:c r="O192" s="48"/>
      <x:c r="P192" s="48"/>
      <x:c r="Q192" s="48"/>
      <x:c r="R192" s="48"/>
      <x:c r="S192" s="48"/>
      <x:c r="T192" s="48"/>
      <x:c r="U192" s="48"/>
      <x:c r="V192" s="48"/>
      <x:c r="W192" s="48"/>
      <x:c r="X192" s="48"/>
      <x:c r="Y192" s="48"/>
      <x:c r="Z192" s="48"/>
    </x:row>
    <x:row r="193">
      <x:c r="A193" s="49"/>
      <x:c r="B193" s="49"/>
      <x:c r="C193" s="49"/>
      <x:c r="D193" s="49"/>
      <x:c r="E193" s="49"/>
      <x:c r="F193" s="49"/>
      <x:c r="G193" s="49"/>
      <x:c r="H193" s="49"/>
      <x:c r="I193" s="56"/>
      <x:c r="J193" s="49"/>
      <x:c r="K193" s="49"/>
      <x:c r="L193" s="49"/>
      <x:c r="M193" s="49"/>
      <x:c r="N193" s="48"/>
      <x:c r="O193" s="48"/>
      <x:c r="P193" s="48"/>
      <x:c r="Q193" s="48"/>
      <x:c r="R193" s="48"/>
      <x:c r="S193" s="48"/>
      <x:c r="T193" s="48"/>
      <x:c r="U193" s="48"/>
      <x:c r="V193" s="48"/>
      <x:c r="W193" s="48"/>
      <x:c r="X193" s="48"/>
      <x:c r="Y193" s="48"/>
      <x:c r="Z193" s="48"/>
    </x:row>
    <x:row r="194">
      <x:c r="A194" s="49"/>
      <x:c r="B194" s="49"/>
      <x:c r="C194" s="49"/>
      <x:c r="D194" s="49"/>
      <x:c r="E194" s="49"/>
      <x:c r="F194" s="49"/>
      <x:c r="G194" s="49"/>
      <x:c r="H194" s="49"/>
      <x:c r="I194" s="56"/>
      <x:c r="J194" s="49"/>
      <x:c r="K194" s="49"/>
      <x:c r="L194" s="49"/>
      <x:c r="M194" s="49"/>
      <x:c r="N194" s="48"/>
      <x:c r="O194" s="48"/>
      <x:c r="P194" s="48"/>
      <x:c r="Q194" s="48"/>
      <x:c r="R194" s="48"/>
      <x:c r="S194" s="48"/>
      <x:c r="T194" s="48"/>
      <x:c r="U194" s="48"/>
      <x:c r="V194" s="48"/>
      <x:c r="W194" s="48"/>
      <x:c r="X194" s="48"/>
      <x:c r="Y194" s="48"/>
      <x:c r="Z194" s="48"/>
    </x:row>
    <x:row r="195">
      <x:c r="A195" s="49"/>
      <x:c r="B195" s="49"/>
      <x:c r="C195" s="49"/>
      <x:c r="D195" s="49"/>
      <x:c r="E195" s="49"/>
      <x:c r="F195" s="49"/>
      <x:c r="G195" s="49"/>
      <x:c r="H195" s="49"/>
      <x:c r="I195" s="56"/>
      <x:c r="J195" s="49"/>
      <x:c r="K195" s="49"/>
      <x:c r="L195" s="49"/>
      <x:c r="M195" s="49"/>
      <x:c r="N195" s="48"/>
      <x:c r="O195" s="48"/>
      <x:c r="P195" s="48"/>
      <x:c r="Q195" s="48"/>
      <x:c r="R195" s="48"/>
      <x:c r="S195" s="48"/>
      <x:c r="T195" s="48"/>
      <x:c r="U195" s="48"/>
      <x:c r="V195" s="48"/>
      <x:c r="W195" s="48"/>
      <x:c r="X195" s="48"/>
      <x:c r="Y195" s="48"/>
      <x:c r="Z195" s="48"/>
    </x:row>
    <x:row r="196">
      <x:c r="A196" s="49"/>
      <x:c r="B196" s="49"/>
      <x:c r="C196" s="49"/>
      <x:c r="D196" s="49"/>
      <x:c r="E196" s="49"/>
      <x:c r="F196" s="49"/>
      <x:c r="G196" s="49"/>
      <x:c r="H196" s="49"/>
      <x:c r="I196" s="56"/>
      <x:c r="J196" s="49"/>
      <x:c r="K196" s="49"/>
      <x:c r="L196" s="49"/>
      <x:c r="M196" s="49"/>
      <x:c r="N196" s="48"/>
      <x:c r="O196" s="48"/>
      <x:c r="P196" s="48"/>
      <x:c r="Q196" s="48"/>
      <x:c r="R196" s="48"/>
      <x:c r="S196" s="48"/>
      <x:c r="T196" s="48"/>
      <x:c r="U196" s="48"/>
      <x:c r="V196" s="48"/>
      <x:c r="W196" s="48"/>
      <x:c r="X196" s="48"/>
      <x:c r="Y196" s="48"/>
      <x:c r="Z196" s="48"/>
    </x:row>
    <x:row r="197">
      <x:c r="A197" s="49"/>
      <x:c r="B197" s="49"/>
      <x:c r="C197" s="49"/>
      <x:c r="D197" s="49"/>
      <x:c r="E197" s="49"/>
      <x:c r="F197" s="49"/>
      <x:c r="G197" s="49"/>
      <x:c r="H197" s="49"/>
      <x:c r="I197" s="56"/>
      <x:c r="J197" s="49"/>
      <x:c r="K197" s="49"/>
      <x:c r="L197" s="49"/>
      <x:c r="M197" s="49"/>
      <x:c r="N197" s="48"/>
      <x:c r="O197" s="48"/>
      <x:c r="P197" s="48"/>
      <x:c r="Q197" s="48"/>
      <x:c r="R197" s="48"/>
      <x:c r="S197" s="48"/>
      <x:c r="T197" s="48"/>
      <x:c r="U197" s="48"/>
      <x:c r="V197" s="48"/>
      <x:c r="W197" s="48"/>
      <x:c r="X197" s="48"/>
      <x:c r="Y197" s="48"/>
      <x:c r="Z197" s="48"/>
    </x:row>
    <x:row r="198">
      <x:c r="A198" s="49"/>
      <x:c r="B198" s="49"/>
      <x:c r="C198" s="49"/>
      <x:c r="D198" s="49"/>
      <x:c r="E198" s="49"/>
      <x:c r="F198" s="49"/>
      <x:c r="G198" s="49"/>
      <x:c r="H198" s="49"/>
      <x:c r="I198" s="56"/>
      <x:c r="J198" s="49"/>
      <x:c r="K198" s="49"/>
      <x:c r="L198" s="49"/>
      <x:c r="M198" s="49"/>
      <x:c r="N198" s="48"/>
      <x:c r="O198" s="48"/>
      <x:c r="P198" s="48"/>
      <x:c r="Q198" s="48"/>
      <x:c r="R198" s="48"/>
      <x:c r="S198" s="48"/>
      <x:c r="T198" s="48"/>
      <x:c r="U198" s="48"/>
      <x:c r="V198" s="48"/>
      <x:c r="W198" s="48"/>
      <x:c r="X198" s="48"/>
      <x:c r="Y198" s="48"/>
      <x:c r="Z198" s="48"/>
    </x:row>
    <x:row r="199">
      <x:c r="A199" s="49"/>
      <x:c r="B199" s="49"/>
      <x:c r="C199" s="49"/>
      <x:c r="D199" s="49"/>
      <x:c r="E199" s="49"/>
      <x:c r="F199" s="49"/>
      <x:c r="G199" s="49"/>
      <x:c r="H199" s="49"/>
      <x:c r="I199" s="56"/>
      <x:c r="J199" s="49"/>
      <x:c r="K199" s="49"/>
      <x:c r="L199" s="49"/>
      <x:c r="M199" s="49"/>
      <x:c r="N199" s="48"/>
      <x:c r="O199" s="48"/>
      <x:c r="P199" s="48"/>
      <x:c r="Q199" s="48"/>
      <x:c r="R199" s="48"/>
      <x:c r="S199" s="48"/>
      <x:c r="T199" s="48"/>
      <x:c r="U199" s="48"/>
      <x:c r="V199" s="48"/>
      <x:c r="W199" s="48"/>
      <x:c r="X199" s="48"/>
      <x:c r="Y199" s="48"/>
      <x:c r="Z199" s="48"/>
    </x:row>
    <x:row r="200">
      <x:c r="A200" s="49"/>
      <x:c r="B200" s="49"/>
      <x:c r="C200" s="49"/>
      <x:c r="D200" s="49"/>
      <x:c r="E200" s="49"/>
      <x:c r="F200" s="49"/>
      <x:c r="G200" s="49"/>
      <x:c r="H200" s="49"/>
      <x:c r="I200" s="56"/>
      <x:c r="J200" s="49"/>
      <x:c r="K200" s="49"/>
      <x:c r="L200" s="49"/>
      <x:c r="M200" s="49"/>
      <x:c r="N200" s="48"/>
      <x:c r="O200" s="48"/>
      <x:c r="P200" s="48"/>
      <x:c r="Q200" s="48"/>
      <x:c r="R200" s="48"/>
      <x:c r="S200" s="48"/>
      <x:c r="T200" s="48"/>
      <x:c r="U200" s="48"/>
      <x:c r="V200" s="48"/>
      <x:c r="W200" s="48"/>
      <x:c r="X200" s="48"/>
      <x:c r="Y200" s="48"/>
      <x:c r="Z200" s="48"/>
    </x:row>
  </x:sheetData>
  <x:pageMargins left="0.7" right="0.7" top="0.75" bottom="0.75" header="0.3" footer="0.3"/>
  <x:tableParts count="1">
    <x:tablePart xmlns:r="http://schemas.openxmlformats.org/officeDocument/2006/relationships" r:id="Rfb03602013044b5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0" hidden="0" customWidth="1"/>
    <x:col min="4" max="4" width="58" hidden="0" customWidth="1"/>
  </x:cols>
  <x:sheetData>
    <x:row r="1">
      <x:c r="A1" s="8" t="str">
        <x:v>category</x:v>
      </x:c>
      <x:c r="B1" s="8" t="str">
        <x:v>code</x:v>
      </x:c>
      <x:c r="C1" s="8" t="str">
        <x:v>ko_label</x:v>
      </x:c>
      <x:c r="D1" s="8" t="str">
        <x:v>definition</x:v>
      </x:c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48" t="str">
        <x:v>PRIMARY_USE</x:v>
      </x:c>
      <x:c r="B2" s="48" t="str">
        <x:v>DAILY</x:v>
      </x:c>
      <x:c r="C2" s="48" t="str">
        <x:v>데일리</x:v>
      </x:c>
      <x:c r="D2" s="48" t="str">
        <x:v>일상적인 조깅·기본 훈련 한 켤레 역할</x:v>
      </x:c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48" t="str">
        <x:v>PRIMARY_USE</x:v>
      </x:c>
      <x:c r="B3" s="48" t="str">
        <x:v>CUSHION_LONG</x:v>
      </x:c>
      <x:c r="C3" s="48" t="str">
        <x:v>쿠션/장거리</x:v>
      </x:c>
      <x:c r="D3" s="48" t="str">
        <x:v>편안함과 장거리·회복 성격</x:v>
      </x:c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>
      <x:c r="A4" s="48" t="str">
        <x:v>PRIMARY_USE</x:v>
      </x:c>
      <x:c r="B4" s="48" t="str">
        <x:v>STABILITY</x:v>
      </x:c>
      <x:c r="C4" s="48" t="str">
        <x:v>안정감 중심</x:v>
      </x:c>
      <x:c r="D4" s="48" t="str">
        <x:v>주행 안정감과 지지 성격을 더 강조</x:v>
      </x:c>
      <x:c r="E4" s="48"/>
      <x:c r="F4" s="48"/>
      <x:c r="G4" s="48"/>
      <x:c r="H4" s="48"/>
      <x:c r="I4" s="48"/>
      <x:c r="J4" s="48"/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>
      <x:c r="A5" s="48" t="str">
        <x:v>PRIMARY_USE</x:v>
      </x:c>
      <x:c r="B5" s="48" t="str">
        <x:v>SPEED_TRAINING</x:v>
      </x:c>
      <x:c r="C5" s="48" t="str">
        <x:v>스피드 훈련</x:v>
      </x:c>
      <x:c r="D5" s="48" t="str">
        <x:v>템포·인터벌·빠른 러닝 중심</x:v>
      </x:c>
      <x:c r="E5" s="48"/>
      <x:c r="F5" s="48"/>
      <x:c r="G5" s="48"/>
      <x:c r="H5" s="48"/>
      <x:c r="I5" s="48"/>
      <x:c r="J5" s="48"/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>
      <x:c r="A6" s="48" t="str">
        <x:v>PRIMARY_USE</x:v>
      </x:c>
      <x:c r="B6" s="48" t="str">
        <x:v>SUPER_TRAINER</x:v>
      </x:c>
      <x:c r="C6" s="48" t="str">
        <x:v>슈퍼트레이너</x:v>
      </x:c>
      <x:c r="D6" s="48" t="str">
        <x:v>빠른 훈련과 장거리까지 넓게 커버하는 고성능 훈련화</x:v>
      </x:c>
      <x:c r="E6" s="48"/>
      <x:c r="F6" s="48"/>
      <x:c r="G6" s="48"/>
      <x:c r="H6" s="48"/>
      <x:c r="I6" s="48"/>
      <x:c r="J6" s="48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>
      <x:c r="A7" s="48" t="str">
        <x:v>PRIMARY_USE</x:v>
      </x:c>
      <x:c r="B7" s="48" t="str">
        <x:v>RACE</x:v>
      </x:c>
      <x:c r="C7" s="48" t="str">
        <x:v>레이스</x:v>
      </x:c>
      <x:c r="D7" s="48" t="str">
        <x:v>대회·기록 목표 특화</x:v>
      </x:c>
      <x:c r="E7" s="48"/>
      <x:c r="F7" s="48"/>
      <x:c r="G7" s="48"/>
      <x:c r="H7" s="48"/>
      <x:c r="I7" s="48"/>
      <x:c r="J7" s="48"/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>
      <x:c r="A8" s="48" t="str">
        <x:v>STATUS</x:v>
      </x:c>
      <x:c r="B8" s="48" t="str">
        <x:v>DRAFT</x:v>
      </x:c>
      <x:c r="C8" s="48" t="str">
        <x:v>초안</x:v>
      </x:c>
      <x:c r="D8" s="48" t="str">
        <x:v>P0 속성/근거 검증 미완료</x:v>
      </x:c>
      <x:c r="E8" s="48"/>
      <x:c r="F8" s="48"/>
      <x:c r="G8" s="48"/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>
      <x:c r="A9" s="48" t="str">
        <x:v>STATUS</x:v>
      </x:c>
      <x:c r="B9" s="48" t="str">
        <x:v>VERIFIED</x:v>
      </x:c>
      <x:c r="C9" s="48" t="str">
        <x:v>검증완료</x:v>
      </x:c>
      <x:c r="D9" s="48" t="str">
        <x:v>P0 Score 및 Source 연결 완료</x:v>
      </x:c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>
      <x:c r="A10" s="48" t="str">
        <x:v>STATUS</x:v>
      </x:c>
      <x:c r="B10" s="48" t="str">
        <x:v>STALE</x:v>
      </x:c>
      <x:c r="C10" s="48" t="str">
        <x:v>재검증 필요</x:v>
      </x:c>
      <x:c r="D10" s="48" t="str">
        <x:v>신제품/공식 판매 상태 변경 등</x:v>
      </x:c>
      <x:c r="E10" s="48"/>
      <x:c r="F10" s="48"/>
      <x:c r="G10" s="48"/>
      <x:c r="H10" s="48"/>
      <x:c r="I10" s="48"/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>
      <x:c r="A11" s="48" t="str">
        <x:v>STATUS</x:v>
      </x:c>
      <x:c r="B11" s="48" t="str">
        <x:v>EXCLUDED</x:v>
      </x:c>
      <x:c r="C11" s="48" t="str">
        <x:v>제외</x:v>
      </x:c>
      <x:c r="D11" s="48" t="str">
        <x:v>MVP 추천 범위에서 제외</x:v>
      </x:c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>
      <x:c r="A12" s="48" t="str">
        <x:v>SPECIALIZATION</x:v>
      </x:c>
      <x:c r="B12" s="48" t="str">
        <x:v>GENERAL</x:v>
      </x:c>
      <x:c r="C12" s="48" t="str">
        <x:v>범용</x:v>
      </x:c>
      <x:c r="D12" s="48" t="str">
        <x:v>일상적 사용 범위가 넓음</x:v>
      </x:c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>
      <x:c r="A13" s="48" t="str">
        <x:v>SPECIALIZATION</x:v>
      </x:c>
      <x:c r="B13" s="48" t="str">
        <x:v>PERFORMANCE</x:v>
      </x:c>
      <x:c r="C13" s="48" t="str">
        <x:v>퍼포먼스</x:v>
      </x:c>
      <x:c r="D13" s="48" t="str">
        <x:v>빠른 훈련 등 성능 방향이 뚜렷함</x:v>
      </x:c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>
      <x:c r="A14" s="48" t="str">
        <x:v>SPECIALIZATION</x:v>
      </x:c>
      <x:c r="B14" s="48" t="str">
        <x:v>SPECIALIZED</x:v>
      </x:c>
      <x:c r="C14" s="48" t="str">
        <x:v>특화</x:v>
      </x:c>
      <x:c r="D14" s="48" t="str">
        <x:v>Race 등 특정 목적 특화</x:v>
      </x:c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48" t="str">
        <x:v>GEAR_NEED</x:v>
      </x:c>
      <x:c r="B15" s="48" t="str">
        <x:v>COMFORT</x:v>
      </x:c>
      <x:c r="C15" s="48" t="str">
        <x:v>더 편하게</x:v>
      </x:c>
      <x:c r="D15" s="48" t="str">
        <x:v>편안함과 지속 가능한 러닝</x:v>
      </x:c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48" t="str">
        <x:v>GEAR_NEED</x:v>
      </x:c>
      <x:c r="B16" s="48" t="str">
        <x:v>SPEED</x:v>
      </x:c>
      <x:c r="C16" s="48" t="str">
        <x:v>더 빠르게</x:v>
      </x:c>
      <x:c r="D16" s="48" t="str">
        <x:v>반응성과 빠른 러닝</x:v>
      </x:c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48" t="str">
        <x:v>GEAR_NEED</x:v>
      </x:c>
      <x:c r="B17" s="48" t="str">
        <x:v>DISTANCE</x:v>
      </x:c>
      <x:c r="C17" s="48" t="str">
        <x:v>더 멀리</x:v>
      </x:c>
      <x:c r="D17" s="48" t="str">
        <x:v>장거리와 지속성</x:v>
      </x:c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48" t="str">
        <x:v>GEAR_NEED</x:v>
      </x:c>
      <x:c r="B18" s="48" t="str">
        <x:v>RACE</x:v>
      </x:c>
      <x:c r="C18" s="48" t="str">
        <x:v>대회/기록</x:v>
      </x:c>
      <x:c r="D18" s="48" t="str">
        <x:v>레이스·기록 목표</x:v>
      </x:c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48" t="str">
        <x:v>GEAR_NEED</x:v>
      </x:c>
      <x:c r="B19" s="48" t="str">
        <x:v>UNSURE</x:v>
      </x:c>
      <x:c r="C19" s="48" t="str">
        <x:v>잘 모르겠음</x:v>
      </x:c>
      <x:c r="D19" s="48" t="str">
        <x:v>범용성과 균형에서 탐색</x:v>
      </x:c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48" t="str">
        <x:v>PRIORITY</x:v>
      </x:c>
      <x:c r="B20" s="48" t="str">
        <x:v>COMFORT</x:v>
      </x:c>
      <x:c r="C20" s="48" t="str">
        <x:v>편안함</x:v>
      </x:c>
      <x:c r="D20" s="48" t="str">
        <x:v>comfort_score</x:v>
      </x:c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48" t="str">
        <x:v>PRIORITY</x:v>
      </x:c>
      <x:c r="B21" s="48" t="str">
        <x:v>STABILITY</x:v>
      </x:c>
      <x:c r="C21" s="48" t="str">
        <x:v>안정감</x:v>
      </x:c>
      <x:c r="D21" s="48" t="str">
        <x:v>platform stability는 참고하고 STABILITY_SUPPORT 후보 여부는 Product Role Filter로 결정</x:v>
      </x:c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48" t="str">
        <x:v>PRIORITY</x:v>
      </x:c>
      <x:c r="B22" s="48" t="str">
        <x:v>RESPONSIVENESS</x:v>
      </x:c>
      <x:c r="C22" s="48" t="str">
        <x:v>반응성</x:v>
      </x:c>
      <x:c r="D22" s="48" t="str">
        <x:v>responsiveness_score</x:v>
      </x:c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48" t="str">
        <x:v>PRIORITY</x:v>
      </x:c>
      <x:c r="B23" s="48" t="str">
        <x:v>VERSATILITY</x:v>
      </x:c>
      <x:c r="C23" s="48" t="str">
        <x:v>범용성</x:v>
      </x:c>
      <x:c r="D23" s="48" t="str">
        <x:v>versatility_score</x:v>
      </x:c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48" t="str">
        <x:v>PRIORITY</x:v>
      </x:c>
      <x:c r="B24" s="48" t="str">
        <x:v>PERFORMANCE</x:v>
      </x:c>
      <x:c r="C24" s="48" t="str">
        <x:v>퍼포먼스</x:v>
      </x:c>
      <x:c r="D24" s="48" t="str">
        <x:v>speed 40% + responsiveness 30% + race 30%</x:v>
      </x:c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48" t="str">
        <x:v>DIRECTION</x:v>
      </x:c>
      <x:c r="B25" s="48" t="str">
        <x:v>DAILY_COMFORT</x:v>
      </x:c>
      <x:c r="C25" s="48" t="str">
        <x:v>이지 컴포트</x:v>
      </x:c>
      <x:c r="D25" s="48" t="str">
        <x:v>편안한 easy/daily 러닝 중심. 제품 Role은 DAILY/CUSHION_LONG/STABILITY에서 선택</x:v>
      </x:c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48" t="str">
        <x:v>DIRECTION</x:v>
      </x:c>
      <x:c r="B26" s="48" t="str">
        <x:v>BALANCED_ALLROUND</x:v>
      </x:c>
      <x:c r="C26" s="48" t="str">
        <x:v>원 슈 밸런스</x:v>
      </x:c>
      <x:c r="D26" s="48" t="str">
        <x:v>한 켤레로 여러 러닝을 커버하는 균형 선택. Race 전용 제품은 기본 제외</x:v>
      </x:c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48" t="str">
        <x:v>DIRECTION</x:v>
      </x:c>
      <x:c r="B27" s="48" t="str">
        <x:v>STABILITY_SUPPORT</x:v>
      </x:c>
      <x:c r="C27" s="48" t="str">
        <x:v>스테이블 라이드</x:v>
      </x:c>
      <x:c r="D27" s="48" t="str">
        <x:v>주행 안정감을 더 중요하게 보는 선택. primary_use=STABILITY 제품만 후보</x:v>
      </x:c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48" t="str">
        <x:v>DIRECTION</x:v>
      </x:c>
      <x:c r="B28" s="48" t="str">
        <x:v>LONG_DISTANCE</x:v>
      </x:c>
      <x:c r="C28" s="48" t="str">
        <x:v>롱런</x:v>
      </x:c>
      <x:c r="D28" s="48" t="str">
        <x:v>오래 달리는 상황과 지속성을 더 중요하게 보는 선택</x:v>
      </x:c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48" t="str">
        <x:v>DIRECTION</x:v>
      </x:c>
      <x:c r="B29" s="48" t="str">
        <x:v>SPEED_TRAINING</x:v>
      </x:c>
      <x:c r="C29" s="48" t="str">
        <x:v>패스트 트레이닝</x:v>
      </x:c>
      <x:c r="D29" s="48" t="str">
        <x:v>Tempo/Interval 등 빠른 훈련 역할을 분명히 하는 선택</x:v>
      </x:c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48" t="str">
        <x:v>DIRECTION</x:v>
      </x:c>
      <x:c r="B30" s="48" t="str">
        <x:v>PERFORMANCE_STEPUP</x:v>
      </x:c>
      <x:c r="C30" s="48" t="str">
        <x:v>퍼포먼스 스텝업</x:v>
      </x:c>
      <x:c r="D30" s="48" t="str">
        <x:v>현재 신발의 범용성을 크게 잃지 않으면서 목표 성능을 한 단계 높이는 상대적 선택</x:v>
      </x:c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48" t="str">
        <x:v>DIRECTION</x:v>
      </x:c>
      <x:c r="B31" s="48" t="str">
        <x:v>RACE_FOCUS</x:v>
      </x:c>
      <x:c r="C31" s="48" t="str">
        <x:v>레이스 데이</x:v>
      </x:c>
      <x:c r="D31" s="48" t="str">
        <x:v>대회와 기록 목표에 특화된 Competition 선택</x:v>
      </x:c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48"/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48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48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48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48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48"/>
      <x:c r="B61" s="48"/>
      <x:c r="C61" s="48"/>
      <x:c r="D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48"/>
      <x:c r="B62" s="48"/>
      <x:c r="C62" s="48"/>
      <x:c r="D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48"/>
      <x:c r="B63" s="48"/>
      <x:c r="C63" s="48"/>
      <x:c r="D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48"/>
      <x:c r="B64" s="48"/>
      <x:c r="C64" s="48"/>
      <x:c r="D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48"/>
      <x:c r="B65" s="48"/>
      <x:c r="C65" s="48"/>
      <x:c r="D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48"/>
      <x:c r="B66" s="48"/>
      <x:c r="C66" s="48"/>
      <x:c r="D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48"/>
      <x:c r="B67" s="48"/>
      <x:c r="C67" s="48"/>
      <x:c r="D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48"/>
      <x:c r="B68" s="48"/>
      <x:c r="C68" s="48"/>
      <x:c r="D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48"/>
      <x:c r="B69" s="48"/>
      <x:c r="C69" s="48"/>
      <x:c r="D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48"/>
      <x:c r="B70" s="48"/>
      <x:c r="C70" s="48"/>
      <x:c r="D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48"/>
      <x:c r="B71" s="48"/>
      <x:c r="C71" s="48"/>
      <x:c r="D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48"/>
      <x:c r="B72" s="48"/>
      <x:c r="C72" s="48"/>
      <x:c r="D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48"/>
      <x:c r="B73" s="48"/>
      <x:c r="C73" s="48"/>
      <x:c r="D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48"/>
      <x:c r="B74" s="48"/>
      <x:c r="C74" s="48"/>
      <x:c r="D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48"/>
      <x:c r="B75" s="48"/>
      <x:c r="C75" s="48"/>
      <x:c r="D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48"/>
      <x:c r="B76" s="48"/>
      <x:c r="C76" s="48"/>
      <x:c r="D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48"/>
      <x:c r="B77" s="48"/>
      <x:c r="C77" s="48"/>
      <x:c r="D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48"/>
      <x:c r="B78" s="48"/>
      <x:c r="C78" s="48"/>
      <x:c r="D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48"/>
      <x:c r="B79" s="48"/>
      <x:c r="C79" s="48"/>
      <x:c r="D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48"/>
      <x:c r="B80" s="48"/>
      <x:c r="C80" s="48"/>
      <x:c r="D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48"/>
      <x:c r="B81" s="48"/>
      <x:c r="C81" s="48"/>
      <x:c r="D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48"/>
      <x:c r="B82" s="48"/>
      <x:c r="C82" s="48"/>
      <x:c r="D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48"/>
      <x:c r="B83" s="48"/>
      <x:c r="C83" s="48"/>
      <x:c r="D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48"/>
      <x:c r="B84" s="48"/>
      <x:c r="C84" s="48"/>
      <x:c r="D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48"/>
      <x:c r="B85" s="48"/>
      <x:c r="C85" s="48"/>
      <x:c r="D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48"/>
      <x:c r="B86" s="48"/>
      <x:c r="C86" s="48"/>
      <x:c r="D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48"/>
      <x:c r="B87" s="48"/>
      <x:c r="C87" s="48"/>
      <x:c r="D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48"/>
      <x:c r="B88" s="48"/>
      <x:c r="C88" s="48"/>
      <x:c r="D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48"/>
      <x:c r="B89" s="48"/>
      <x:c r="C89" s="48"/>
      <x:c r="D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48"/>
      <x:c r="B90" s="48"/>
      <x:c r="C90" s="48"/>
      <x:c r="D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48"/>
      <x:c r="B91" s="48"/>
      <x:c r="C91" s="48"/>
      <x:c r="D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48"/>
      <x:c r="B92" s="48"/>
      <x:c r="C92" s="48"/>
      <x:c r="D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48"/>
      <x:c r="B93" s="48"/>
      <x:c r="C93" s="48"/>
      <x:c r="D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48"/>
      <x:c r="B94" s="48"/>
      <x:c r="C94" s="48"/>
      <x:c r="D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48"/>
      <x:c r="B95" s="48"/>
      <x:c r="C95" s="48"/>
      <x:c r="D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48"/>
      <x:c r="B96" s="48"/>
      <x:c r="C96" s="48"/>
      <x:c r="D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48"/>
      <x:c r="B97" s="48"/>
      <x:c r="C97" s="48"/>
      <x:c r="D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48"/>
      <x:c r="B98" s="48"/>
      <x:c r="C98" s="48"/>
      <x:c r="D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48"/>
      <x:c r="B99" s="48"/>
      <x:c r="C99" s="48"/>
      <x:c r="D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48"/>
      <x:c r="B100" s="48"/>
      <x:c r="C100" s="48"/>
      <x:c r="D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48"/>
      <x:c r="B101" s="48"/>
      <x:c r="C101" s="48"/>
      <x:c r="D101" s="48"/>
      <x:c r="E101" s="48"/>
      <x:c r="F101" s="48"/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48"/>
      <x:c r="B102" s="48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48"/>
      <x:c r="B103" s="48"/>
      <x:c r="C103" s="48"/>
      <x:c r="D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48"/>
      <x:c r="B104" s="48"/>
      <x:c r="C104" s="48"/>
      <x:c r="D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48"/>
      <x:c r="B105" s="48"/>
      <x:c r="C105" s="48"/>
      <x:c r="D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48"/>
      <x:c r="B106" s="48"/>
      <x:c r="C106" s="48"/>
      <x:c r="D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48"/>
      <x:c r="B107" s="48"/>
      <x:c r="C107" s="48"/>
      <x:c r="D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48"/>
      <x:c r="B108" s="48"/>
      <x:c r="C108" s="48"/>
      <x:c r="D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48"/>
      <x:c r="B109" s="48"/>
      <x:c r="C109" s="48"/>
      <x:c r="D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48"/>
      <x:c r="B110" s="48"/>
      <x:c r="C110" s="48"/>
      <x:c r="D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48"/>
      <x:c r="B111" s="48"/>
      <x:c r="C111" s="48"/>
      <x:c r="D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48"/>
      <x:c r="B112" s="48"/>
      <x:c r="C112" s="48"/>
      <x:c r="D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48"/>
      <x:c r="B113" s="48"/>
      <x:c r="C113" s="48"/>
      <x:c r="D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48"/>
      <x:c r="B114" s="48"/>
      <x:c r="C114" s="48"/>
      <x:c r="D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48"/>
      <x:c r="B115" s="48"/>
      <x:c r="C115" s="48"/>
      <x:c r="D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48"/>
      <x:c r="B116" s="48"/>
      <x:c r="C116" s="48"/>
      <x:c r="D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48"/>
      <x:c r="B117" s="48"/>
      <x:c r="C117" s="48"/>
      <x:c r="D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48"/>
      <x:c r="B118" s="48"/>
      <x:c r="C118" s="48"/>
      <x:c r="D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48"/>
      <x:c r="B119" s="48"/>
      <x:c r="C119" s="48"/>
      <x:c r="D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48"/>
      <x:c r="B120" s="48"/>
      <x:c r="C120" s="48"/>
      <x:c r="D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  <x:row r="121">
      <x:c r="A121" s="48"/>
      <x:c r="B121" s="48"/>
      <x:c r="C121" s="48"/>
      <x:c r="D121" s="48"/>
      <x:c r="E121" s="48"/>
      <x:c r="F121" s="48"/>
      <x:c r="G121" s="48"/>
      <x:c r="H121" s="48"/>
      <x:c r="I121" s="48"/>
      <x:c r="J121" s="48"/>
      <x:c r="K121" s="48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8"/>
      <x:c r="Z121" s="48"/>
    </x:row>
    <x:row r="122">
      <x:c r="A122" s="48"/>
      <x:c r="B122" s="48"/>
      <x:c r="C122" s="48"/>
      <x:c r="D122" s="48"/>
      <x:c r="E122" s="48"/>
      <x:c r="F122" s="48"/>
      <x:c r="G122" s="48"/>
      <x:c r="H122" s="48"/>
      <x:c r="I122" s="48"/>
      <x:c r="J122" s="48"/>
      <x:c r="K122" s="48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8"/>
      <x:c r="Z122" s="48"/>
    </x:row>
    <x:row r="123">
      <x:c r="A123" s="48"/>
      <x:c r="B123" s="48"/>
      <x:c r="C123" s="48"/>
      <x:c r="D123" s="48"/>
      <x:c r="E123" s="48"/>
      <x:c r="F123" s="48"/>
      <x:c r="G123" s="48"/>
      <x:c r="H123" s="48"/>
      <x:c r="I123" s="48"/>
      <x:c r="J123" s="48"/>
      <x:c r="K123" s="48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8"/>
      <x:c r="Z123" s="48"/>
    </x:row>
    <x:row r="124">
      <x:c r="A124" s="48"/>
      <x:c r="B124" s="48"/>
      <x:c r="C124" s="48"/>
      <x:c r="D124" s="48"/>
      <x:c r="E124" s="48"/>
      <x:c r="F124" s="48"/>
      <x:c r="G124" s="48"/>
      <x:c r="H124" s="48"/>
      <x:c r="I124" s="48"/>
      <x:c r="J124" s="48"/>
      <x:c r="K124" s="48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8"/>
      <x:c r="Z124" s="48"/>
    </x:row>
    <x:row r="125">
      <x:c r="A125" s="48"/>
      <x:c r="B125" s="48"/>
      <x:c r="C125" s="48"/>
      <x:c r="D125" s="48"/>
      <x:c r="E125" s="48"/>
      <x:c r="F125" s="48"/>
      <x:c r="G125" s="48"/>
      <x:c r="H125" s="48"/>
      <x:c r="I125" s="48"/>
      <x:c r="J125" s="48"/>
      <x:c r="K125" s="48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8"/>
      <x:c r="X125" s="48"/>
      <x:c r="Y125" s="48"/>
      <x:c r="Z125" s="48"/>
    </x:row>
    <x:row r="126">
      <x:c r="A126" s="48"/>
      <x:c r="B126" s="48"/>
      <x:c r="C126" s="48"/>
      <x:c r="D126" s="48"/>
      <x:c r="E126" s="48"/>
      <x:c r="F126" s="48"/>
      <x:c r="G126" s="48"/>
      <x:c r="H126" s="48"/>
      <x:c r="I126" s="48"/>
      <x:c r="J126" s="48"/>
      <x:c r="K126" s="48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8"/>
      <x:c r="X126" s="48"/>
      <x:c r="Y126" s="48"/>
      <x:c r="Z126" s="48"/>
    </x:row>
    <x:row r="127">
      <x:c r="A127" s="48"/>
      <x:c r="B127" s="48"/>
      <x:c r="C127" s="48"/>
      <x:c r="D127" s="48"/>
      <x:c r="E127" s="48"/>
      <x:c r="F127" s="48"/>
      <x:c r="G127" s="48"/>
      <x:c r="H127" s="48"/>
      <x:c r="I127" s="48"/>
      <x:c r="J127" s="48"/>
      <x:c r="K127" s="48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8"/>
      <x:c r="X127" s="48"/>
      <x:c r="Y127" s="48"/>
      <x:c r="Z127" s="48"/>
    </x:row>
    <x:row r="128">
      <x:c r="A128" s="48"/>
      <x:c r="B128" s="48"/>
      <x:c r="C128" s="48"/>
      <x:c r="D128" s="48"/>
      <x:c r="E128" s="48"/>
      <x:c r="F128" s="48"/>
      <x:c r="G128" s="48"/>
      <x:c r="H128" s="48"/>
      <x:c r="I128" s="48"/>
      <x:c r="J128" s="48"/>
      <x:c r="K128" s="48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8"/>
      <x:c r="X128" s="48"/>
      <x:c r="Y128" s="48"/>
      <x:c r="Z128" s="48"/>
    </x:row>
    <x:row r="129">
      <x:c r="A129" s="48"/>
      <x:c r="B129" s="48"/>
      <x:c r="C129" s="48"/>
      <x:c r="D129" s="48"/>
      <x:c r="E129" s="48"/>
      <x:c r="F129" s="48"/>
      <x:c r="G129" s="48"/>
      <x:c r="H129" s="48"/>
      <x:c r="I129" s="48"/>
      <x:c r="J129" s="48"/>
      <x:c r="K129" s="48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8"/>
      <x:c r="X129" s="48"/>
      <x:c r="Y129" s="48"/>
      <x:c r="Z129" s="48"/>
    </x:row>
    <x:row r="130">
      <x:c r="A130" s="48"/>
      <x:c r="B130" s="48"/>
      <x:c r="C130" s="48"/>
      <x:c r="D130" s="48"/>
      <x:c r="E130" s="48"/>
      <x:c r="F130" s="48"/>
      <x:c r="G130" s="48"/>
      <x:c r="H130" s="48"/>
      <x:c r="I130" s="48"/>
      <x:c r="J130" s="48"/>
      <x:c r="K130" s="48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8"/>
      <x:c r="X130" s="48"/>
      <x:c r="Y130" s="48"/>
      <x:c r="Z130" s="48"/>
    </x:row>
    <x:row r="131">
      <x:c r="A131" s="48"/>
      <x:c r="B131" s="48"/>
      <x:c r="C131" s="48"/>
      <x:c r="D131" s="48"/>
      <x:c r="E131" s="48"/>
      <x:c r="F131" s="48"/>
      <x:c r="G131" s="48"/>
      <x:c r="H131" s="48"/>
      <x:c r="I131" s="48"/>
      <x:c r="J131" s="48"/>
      <x:c r="K131" s="48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8"/>
      <x:c r="X131" s="48"/>
      <x:c r="Y131" s="48"/>
      <x:c r="Z131" s="48"/>
    </x:row>
    <x:row r="132">
      <x:c r="A132" s="48"/>
      <x:c r="B132" s="48"/>
      <x:c r="C132" s="48"/>
      <x:c r="D132" s="48"/>
      <x:c r="E132" s="48"/>
      <x:c r="F132" s="48"/>
      <x:c r="G132" s="48"/>
      <x:c r="H132" s="48"/>
      <x:c r="I132" s="48"/>
      <x:c r="J132" s="48"/>
      <x:c r="K132" s="48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8"/>
      <x:c r="X132" s="48"/>
      <x:c r="Y132" s="48"/>
      <x:c r="Z132" s="48"/>
    </x:row>
    <x:row r="133">
      <x:c r="A133" s="48"/>
      <x:c r="B133" s="48"/>
      <x:c r="C133" s="48"/>
      <x:c r="D133" s="48"/>
      <x:c r="E133" s="48"/>
      <x:c r="F133" s="48"/>
      <x:c r="G133" s="48"/>
      <x:c r="H133" s="48"/>
      <x:c r="I133" s="48"/>
      <x:c r="J133" s="48"/>
      <x:c r="K133" s="48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8"/>
      <x:c r="X133" s="48"/>
      <x:c r="Y133" s="48"/>
      <x:c r="Z133" s="48"/>
    </x:row>
    <x:row r="134">
      <x:c r="A134" s="48"/>
      <x:c r="B134" s="48"/>
      <x:c r="C134" s="48"/>
      <x:c r="D134" s="48"/>
      <x:c r="E134" s="48"/>
      <x:c r="F134" s="48"/>
      <x:c r="G134" s="48"/>
      <x:c r="H134" s="48"/>
      <x:c r="I134" s="48"/>
      <x:c r="J134" s="48"/>
      <x:c r="K134" s="48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8"/>
      <x:c r="X134" s="48"/>
      <x:c r="Y134" s="48"/>
      <x:c r="Z134" s="48"/>
    </x:row>
    <x:row r="135">
      <x:c r="A135" s="48"/>
      <x:c r="B135" s="48"/>
      <x:c r="C135" s="48"/>
      <x:c r="D135" s="48"/>
      <x:c r="E135" s="48"/>
      <x:c r="F135" s="48"/>
      <x:c r="G135" s="48"/>
      <x:c r="H135" s="48"/>
      <x:c r="I135" s="48"/>
      <x:c r="J135" s="48"/>
      <x:c r="K135" s="48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8"/>
      <x:c r="X135" s="48"/>
      <x:c r="Y135" s="48"/>
      <x:c r="Z135" s="48"/>
    </x:row>
    <x:row r="136">
      <x:c r="A136" s="48"/>
      <x:c r="B136" s="48"/>
      <x:c r="C136" s="48"/>
      <x:c r="D136" s="48"/>
      <x:c r="E136" s="48"/>
      <x:c r="F136" s="48"/>
      <x:c r="G136" s="48"/>
      <x:c r="H136" s="48"/>
      <x:c r="I136" s="48"/>
      <x:c r="J136" s="48"/>
      <x:c r="K136" s="48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8"/>
      <x:c r="X136" s="48"/>
      <x:c r="Y136" s="48"/>
      <x:c r="Z136" s="48"/>
    </x:row>
    <x:row r="137">
      <x:c r="A137" s="48"/>
      <x:c r="B137" s="48"/>
      <x:c r="C137" s="48"/>
      <x:c r="D137" s="48"/>
      <x:c r="E137" s="48"/>
      <x:c r="F137" s="48"/>
      <x:c r="G137" s="48"/>
      <x:c r="H137" s="48"/>
      <x:c r="I137" s="48"/>
      <x:c r="J137" s="48"/>
      <x:c r="K137" s="48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8"/>
      <x:c r="X137" s="48"/>
      <x:c r="Y137" s="48"/>
      <x:c r="Z137" s="48"/>
    </x:row>
    <x:row r="138">
      <x:c r="A138" s="48"/>
      <x:c r="B138" s="48"/>
      <x:c r="C138" s="48"/>
      <x:c r="D138" s="48"/>
      <x:c r="E138" s="48"/>
      <x:c r="F138" s="48"/>
      <x:c r="G138" s="48"/>
      <x:c r="H138" s="48"/>
      <x:c r="I138" s="48"/>
      <x:c r="J138" s="48"/>
      <x:c r="K138" s="48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8"/>
      <x:c r="X138" s="48"/>
      <x:c r="Y138" s="48"/>
      <x:c r="Z138" s="48"/>
    </x:row>
    <x:row r="139">
      <x:c r="A139" s="48"/>
      <x:c r="B139" s="48"/>
      <x:c r="C139" s="48"/>
      <x:c r="D139" s="48"/>
      <x:c r="E139" s="48"/>
      <x:c r="F139" s="48"/>
      <x:c r="G139" s="48"/>
      <x:c r="H139" s="48"/>
      <x:c r="I139" s="48"/>
      <x:c r="J139" s="48"/>
      <x:c r="K139" s="48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8"/>
      <x:c r="X139" s="48"/>
      <x:c r="Y139" s="48"/>
      <x:c r="Z139" s="48"/>
    </x:row>
    <x:row r="140">
      <x:c r="A140" s="48"/>
      <x:c r="B140" s="48"/>
      <x:c r="C140" s="48"/>
      <x:c r="D140" s="48"/>
      <x:c r="E140" s="48"/>
      <x:c r="F140" s="48"/>
      <x:c r="G140" s="48"/>
      <x:c r="H140" s="48"/>
      <x:c r="I140" s="48"/>
      <x:c r="J140" s="48"/>
      <x:c r="K140" s="48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8"/>
      <x:c r="X140" s="48"/>
      <x:c r="Y140" s="48"/>
      <x:c r="Z140" s="48"/>
    </x:row>
    <x:row r="141">
      <x:c r="A141" s="48"/>
      <x:c r="B141" s="48"/>
      <x:c r="C141" s="48"/>
      <x:c r="D141" s="48"/>
      <x:c r="E141" s="48"/>
      <x:c r="F141" s="48"/>
      <x:c r="G141" s="48"/>
      <x:c r="H141" s="48"/>
      <x:c r="I141" s="48"/>
      <x:c r="J141" s="48"/>
      <x:c r="K141" s="48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8"/>
      <x:c r="X141" s="48"/>
      <x:c r="Y141" s="48"/>
      <x:c r="Z141" s="48"/>
    </x:row>
    <x:row r="142">
      <x:c r="A142" s="48"/>
      <x:c r="B142" s="48"/>
      <x:c r="C142" s="48"/>
      <x:c r="D142" s="48"/>
      <x:c r="E142" s="48"/>
      <x:c r="F142" s="48"/>
      <x:c r="G142" s="48"/>
      <x:c r="H142" s="48"/>
      <x:c r="I142" s="48"/>
      <x:c r="J142" s="48"/>
      <x:c r="K142" s="48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8"/>
      <x:c r="X142" s="48"/>
      <x:c r="Y142" s="48"/>
      <x:c r="Z142" s="48"/>
    </x:row>
    <x:row r="143">
      <x:c r="A143" s="48"/>
      <x:c r="B143" s="48"/>
      <x:c r="C143" s="48"/>
      <x:c r="D143" s="48"/>
      <x:c r="E143" s="48"/>
      <x:c r="F143" s="48"/>
      <x:c r="G143" s="48"/>
      <x:c r="H143" s="48"/>
      <x:c r="I143" s="48"/>
      <x:c r="J143" s="48"/>
      <x:c r="K143" s="48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8"/>
      <x:c r="X143" s="48"/>
      <x:c r="Y143" s="48"/>
      <x:c r="Z143" s="48"/>
    </x:row>
    <x:row r="144">
      <x:c r="A144" s="48"/>
      <x:c r="B144" s="48"/>
      <x:c r="C144" s="48"/>
      <x:c r="D144" s="48"/>
      <x:c r="E144" s="48"/>
      <x:c r="F144" s="48"/>
      <x:c r="G144" s="48"/>
      <x:c r="H144" s="48"/>
      <x:c r="I144" s="48"/>
      <x:c r="J144" s="48"/>
      <x:c r="K144" s="48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8"/>
      <x:c r="X144" s="48"/>
      <x:c r="Y144" s="48"/>
      <x:c r="Z144" s="48"/>
    </x:row>
    <x:row r="145">
      <x:c r="A145" s="48"/>
      <x:c r="B145" s="48"/>
      <x:c r="C145" s="48"/>
      <x:c r="D145" s="48"/>
      <x:c r="E145" s="48"/>
      <x:c r="F145" s="48"/>
      <x:c r="G145" s="48"/>
      <x:c r="H145" s="48"/>
      <x:c r="I145" s="48"/>
      <x:c r="J145" s="48"/>
      <x:c r="K145" s="48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8"/>
      <x:c r="X145" s="48"/>
      <x:c r="Y145" s="48"/>
      <x:c r="Z145" s="48"/>
    </x:row>
    <x:row r="146">
      <x:c r="A146" s="48"/>
      <x:c r="B146" s="48"/>
      <x:c r="C146" s="48"/>
      <x:c r="D146" s="48"/>
      <x:c r="E146" s="48"/>
      <x:c r="F146" s="48"/>
      <x:c r="G146" s="48"/>
      <x:c r="H146" s="48"/>
      <x:c r="I146" s="48"/>
      <x:c r="J146" s="48"/>
      <x:c r="K146" s="48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8"/>
      <x:c r="X146" s="48"/>
      <x:c r="Y146" s="48"/>
      <x:c r="Z146" s="48"/>
    </x:row>
    <x:row r="147">
      <x:c r="A147" s="48"/>
      <x:c r="B147" s="48"/>
      <x:c r="C147" s="48"/>
      <x:c r="D147" s="48"/>
      <x:c r="E147" s="48"/>
      <x:c r="F147" s="48"/>
      <x:c r="G147" s="48"/>
      <x:c r="H147" s="48"/>
      <x:c r="I147" s="48"/>
      <x:c r="J147" s="48"/>
      <x:c r="K147" s="48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8"/>
      <x:c r="X147" s="48"/>
      <x:c r="Y147" s="48"/>
      <x:c r="Z147" s="48"/>
    </x:row>
    <x:row r="148">
      <x:c r="A148" s="48"/>
      <x:c r="B148" s="48"/>
      <x:c r="C148" s="48"/>
      <x:c r="D148" s="48"/>
      <x:c r="E148" s="48"/>
      <x:c r="F148" s="48"/>
      <x:c r="G148" s="48"/>
      <x:c r="H148" s="48"/>
      <x:c r="I148" s="48"/>
      <x:c r="J148" s="48"/>
      <x:c r="K148" s="48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8"/>
      <x:c r="X148" s="48"/>
      <x:c r="Y148" s="48"/>
      <x:c r="Z148" s="48"/>
    </x:row>
    <x:row r="149">
      <x:c r="A149" s="48"/>
      <x:c r="B149" s="48"/>
      <x:c r="C149" s="48"/>
      <x:c r="D149" s="48"/>
      <x:c r="E149" s="48"/>
      <x:c r="F149" s="48"/>
      <x:c r="G149" s="48"/>
      <x:c r="H149" s="48"/>
      <x:c r="I149" s="48"/>
      <x:c r="J149" s="48"/>
      <x:c r="K149" s="48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8"/>
      <x:c r="X149" s="48"/>
      <x:c r="Y149" s="48"/>
      <x:c r="Z149" s="48"/>
    </x:row>
    <x:row r="150">
      <x:c r="A150" s="48"/>
      <x:c r="B150" s="48"/>
      <x:c r="C150" s="48"/>
      <x:c r="D150" s="48"/>
      <x:c r="E150" s="48"/>
      <x:c r="F150" s="48"/>
      <x:c r="G150" s="48"/>
      <x:c r="H150" s="48"/>
      <x:c r="I150" s="48"/>
      <x:c r="J150" s="48"/>
      <x:c r="K150" s="48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8"/>
      <x:c r="X150" s="48"/>
      <x:c r="Y150" s="48"/>
      <x:c r="Z150" s="48"/>
    </x:row>
    <x:row r="151">
      <x:c r="A151" s="48"/>
      <x:c r="B151" s="48"/>
      <x:c r="C151" s="48"/>
      <x:c r="D151" s="48"/>
      <x:c r="E151" s="48"/>
      <x:c r="F151" s="48"/>
      <x:c r="G151" s="48"/>
      <x:c r="H151" s="48"/>
      <x:c r="I151" s="48"/>
      <x:c r="J151" s="48"/>
      <x:c r="K151" s="48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8"/>
      <x:c r="X151" s="48"/>
      <x:c r="Y151" s="48"/>
      <x:c r="Z151" s="48"/>
    </x:row>
    <x:row r="152">
      <x:c r="A152" s="48"/>
      <x:c r="B152" s="48"/>
      <x:c r="C152" s="48"/>
      <x:c r="D152" s="48"/>
      <x:c r="E152" s="48"/>
      <x:c r="F152" s="48"/>
      <x:c r="G152" s="48"/>
      <x:c r="H152" s="48"/>
      <x:c r="I152" s="48"/>
      <x:c r="J152" s="48"/>
      <x:c r="K152" s="48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8"/>
      <x:c r="X152" s="48"/>
      <x:c r="Y152" s="48"/>
      <x:c r="Z152" s="48"/>
    </x:row>
    <x:row r="153">
      <x:c r="A153" s="48"/>
      <x:c r="B153" s="48"/>
      <x:c r="C153" s="48"/>
      <x:c r="D153" s="48"/>
      <x:c r="E153" s="48"/>
      <x:c r="F153" s="48"/>
      <x:c r="G153" s="48"/>
      <x:c r="H153" s="48"/>
      <x:c r="I153" s="48"/>
      <x:c r="J153" s="48"/>
      <x:c r="K153" s="48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8"/>
      <x:c r="X153" s="48"/>
      <x:c r="Y153" s="48"/>
      <x:c r="Z153" s="48"/>
    </x:row>
    <x:row r="154">
      <x:c r="A154" s="48"/>
      <x:c r="B154" s="48"/>
      <x:c r="C154" s="48"/>
      <x:c r="D154" s="48"/>
      <x:c r="E154" s="48"/>
      <x:c r="F154" s="48"/>
      <x:c r="G154" s="48"/>
      <x:c r="H154" s="48"/>
      <x:c r="I154" s="48"/>
      <x:c r="J154" s="48"/>
      <x:c r="K154" s="48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8"/>
      <x:c r="X154" s="48"/>
      <x:c r="Y154" s="48"/>
      <x:c r="Z154" s="48"/>
    </x:row>
    <x:row r="155">
      <x:c r="A155" s="48"/>
      <x:c r="B155" s="48"/>
      <x:c r="C155" s="48"/>
      <x:c r="D155" s="48"/>
      <x:c r="E155" s="48"/>
      <x:c r="F155" s="48"/>
      <x:c r="G155" s="48"/>
      <x:c r="H155" s="48"/>
      <x:c r="I155" s="48"/>
      <x:c r="J155" s="48"/>
      <x:c r="K155" s="48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8"/>
      <x:c r="X155" s="48"/>
      <x:c r="Y155" s="48"/>
      <x:c r="Z155" s="48"/>
    </x:row>
    <x:row r="156">
      <x:c r="A156" s="48"/>
      <x:c r="B156" s="48"/>
      <x:c r="C156" s="48"/>
      <x:c r="D156" s="48"/>
      <x:c r="E156" s="48"/>
      <x:c r="F156" s="48"/>
      <x:c r="G156" s="48"/>
      <x:c r="H156" s="48"/>
      <x:c r="I156" s="48"/>
      <x:c r="J156" s="48"/>
      <x:c r="K156" s="48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8"/>
      <x:c r="X156" s="48"/>
      <x:c r="Y156" s="48"/>
      <x:c r="Z156" s="48"/>
    </x:row>
    <x:row r="157">
      <x:c r="A157" s="48"/>
      <x:c r="B157" s="48"/>
      <x:c r="C157" s="48"/>
      <x:c r="D157" s="48"/>
      <x:c r="E157" s="48"/>
      <x:c r="F157" s="48"/>
      <x:c r="G157" s="48"/>
      <x:c r="H157" s="48"/>
      <x:c r="I157" s="48"/>
      <x:c r="J157" s="48"/>
      <x:c r="K157" s="48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8"/>
      <x:c r="X157" s="48"/>
      <x:c r="Y157" s="48"/>
      <x:c r="Z157" s="48"/>
    </x:row>
    <x:row r="158">
      <x:c r="A158" s="48"/>
      <x:c r="B158" s="48"/>
      <x:c r="C158" s="48"/>
      <x:c r="D158" s="48"/>
      <x:c r="E158" s="48"/>
      <x:c r="F158" s="48"/>
      <x:c r="G158" s="48"/>
      <x:c r="H158" s="48"/>
      <x:c r="I158" s="48"/>
      <x:c r="J158" s="48"/>
      <x:c r="K158" s="48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8"/>
      <x:c r="X158" s="48"/>
      <x:c r="Y158" s="48"/>
      <x:c r="Z158" s="48"/>
    </x:row>
    <x:row r="159">
      <x:c r="A159" s="48"/>
      <x:c r="B159" s="48"/>
      <x:c r="C159" s="48"/>
      <x:c r="D159" s="48"/>
      <x:c r="E159" s="48"/>
      <x:c r="F159" s="48"/>
      <x:c r="G159" s="48"/>
      <x:c r="H159" s="48"/>
      <x:c r="I159" s="48"/>
      <x:c r="J159" s="48"/>
      <x:c r="K159" s="48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8"/>
      <x:c r="X159" s="48"/>
      <x:c r="Y159" s="48"/>
      <x:c r="Z159" s="48"/>
    </x:row>
    <x:row r="160">
      <x:c r="A160" s="48"/>
      <x:c r="B160" s="48"/>
      <x:c r="C160" s="48"/>
      <x:c r="D160" s="48"/>
      <x:c r="E160" s="48"/>
      <x:c r="F160" s="48"/>
      <x:c r="G160" s="48"/>
      <x:c r="H160" s="48"/>
      <x:c r="I160" s="48"/>
      <x:c r="J160" s="48"/>
      <x:c r="K160" s="48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8"/>
      <x:c r="X160" s="48"/>
      <x:c r="Y160" s="48"/>
      <x:c r="Z160" s="48"/>
    </x:row>
    <x:row r="161">
      <x:c r="A161" s="48"/>
      <x:c r="B161" s="48"/>
      <x:c r="C161" s="48"/>
      <x:c r="D161" s="48"/>
      <x:c r="E161" s="48"/>
      <x:c r="F161" s="48"/>
      <x:c r="G161" s="48"/>
      <x:c r="H161" s="48"/>
      <x:c r="I161" s="48"/>
      <x:c r="J161" s="48"/>
      <x:c r="K161" s="48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8"/>
      <x:c r="X161" s="48"/>
      <x:c r="Y161" s="48"/>
      <x:c r="Z161" s="48"/>
    </x:row>
    <x:row r="162">
      <x:c r="A162" s="48"/>
      <x:c r="B162" s="48"/>
      <x:c r="C162" s="48"/>
      <x:c r="D162" s="48"/>
      <x:c r="E162" s="48"/>
      <x:c r="F162" s="48"/>
      <x:c r="G162" s="48"/>
      <x:c r="H162" s="48"/>
      <x:c r="I162" s="48"/>
      <x:c r="J162" s="48"/>
      <x:c r="K162" s="48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8"/>
      <x:c r="X162" s="48"/>
      <x:c r="Y162" s="48"/>
      <x:c r="Z162" s="48"/>
    </x:row>
    <x:row r="163">
      <x:c r="A163" s="48"/>
      <x:c r="B163" s="48"/>
      <x:c r="C163" s="48"/>
      <x:c r="D163" s="48"/>
      <x:c r="E163" s="48"/>
      <x:c r="F163" s="48"/>
      <x:c r="G163" s="48"/>
      <x:c r="H163" s="48"/>
      <x:c r="I163" s="48"/>
      <x:c r="J163" s="48"/>
      <x:c r="K163" s="48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8"/>
      <x:c r="X163" s="48"/>
      <x:c r="Y163" s="48"/>
      <x:c r="Z163" s="48"/>
    </x:row>
    <x:row r="164">
      <x:c r="A164" s="48"/>
      <x:c r="B164" s="48"/>
      <x:c r="C164" s="48"/>
      <x:c r="D164" s="48"/>
      <x:c r="E164" s="48"/>
      <x:c r="F164" s="48"/>
      <x:c r="G164" s="48"/>
      <x:c r="H164" s="48"/>
      <x:c r="I164" s="48"/>
      <x:c r="J164" s="48"/>
      <x:c r="K164" s="48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8"/>
      <x:c r="X164" s="48"/>
      <x:c r="Y164" s="48"/>
      <x:c r="Z164" s="48"/>
    </x:row>
    <x:row r="165">
      <x:c r="A165" s="48"/>
      <x:c r="B165" s="48"/>
      <x:c r="C165" s="48"/>
      <x:c r="D165" s="48"/>
      <x:c r="E165" s="48"/>
      <x:c r="F165" s="48"/>
      <x:c r="G165" s="48"/>
      <x:c r="H165" s="48"/>
      <x:c r="I165" s="48"/>
      <x:c r="J165" s="48"/>
      <x:c r="K165" s="48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8"/>
      <x:c r="X165" s="48"/>
      <x:c r="Y165" s="48"/>
      <x:c r="Z165" s="48"/>
    </x:row>
    <x:row r="166">
      <x:c r="A166" s="48"/>
      <x:c r="B166" s="48"/>
      <x:c r="C166" s="48"/>
      <x:c r="D166" s="48"/>
      <x:c r="E166" s="48"/>
      <x:c r="F166" s="48"/>
      <x:c r="G166" s="48"/>
      <x:c r="H166" s="48"/>
      <x:c r="I166" s="48"/>
      <x:c r="J166" s="48"/>
      <x:c r="K166" s="48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8"/>
      <x:c r="X166" s="48"/>
      <x:c r="Y166" s="48"/>
      <x:c r="Z166" s="48"/>
    </x:row>
    <x:row r="167">
      <x:c r="A167" s="48"/>
      <x:c r="B167" s="48"/>
      <x:c r="C167" s="48"/>
      <x:c r="D167" s="48"/>
      <x:c r="E167" s="48"/>
      <x:c r="F167" s="48"/>
      <x:c r="G167" s="48"/>
      <x:c r="H167" s="48"/>
      <x:c r="I167" s="48"/>
      <x:c r="J167" s="48"/>
      <x:c r="K167" s="48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8"/>
      <x:c r="X167" s="48"/>
      <x:c r="Y167" s="48"/>
      <x:c r="Z167" s="48"/>
    </x:row>
    <x:row r="168">
      <x:c r="A168" s="48"/>
      <x:c r="B168" s="48"/>
      <x:c r="C168" s="48"/>
      <x:c r="D168" s="48"/>
      <x:c r="E168" s="48"/>
      <x:c r="F168" s="48"/>
      <x:c r="G168" s="48"/>
      <x:c r="H168" s="48"/>
      <x:c r="I168" s="48"/>
      <x:c r="J168" s="48"/>
      <x:c r="K168" s="48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8"/>
      <x:c r="X168" s="48"/>
      <x:c r="Y168" s="48"/>
      <x:c r="Z168" s="48"/>
    </x:row>
    <x:row r="169">
      <x:c r="A169" s="48"/>
      <x:c r="B169" s="48"/>
      <x:c r="C169" s="48"/>
      <x:c r="D169" s="48"/>
      <x:c r="E169" s="48"/>
      <x:c r="F169" s="48"/>
      <x:c r="G169" s="48"/>
      <x:c r="H169" s="48"/>
      <x:c r="I169" s="48"/>
      <x:c r="J169" s="48"/>
      <x:c r="K169" s="48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8"/>
      <x:c r="X169" s="48"/>
      <x:c r="Y169" s="48"/>
      <x:c r="Z169" s="48"/>
    </x:row>
    <x:row r="170">
      <x:c r="A170" s="48"/>
      <x:c r="B170" s="48"/>
      <x:c r="C170" s="48"/>
      <x:c r="D170" s="48"/>
      <x:c r="E170" s="48"/>
      <x:c r="F170" s="48"/>
      <x:c r="G170" s="48"/>
      <x:c r="H170" s="48"/>
      <x:c r="I170" s="48"/>
      <x:c r="J170" s="48"/>
      <x:c r="K170" s="48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8"/>
      <x:c r="X170" s="48"/>
      <x:c r="Y170" s="48"/>
      <x:c r="Z170" s="48"/>
    </x:row>
    <x:row r="171">
      <x:c r="A171" s="48"/>
      <x:c r="B171" s="48"/>
      <x:c r="C171" s="48"/>
      <x:c r="D171" s="48"/>
      <x:c r="E171" s="48"/>
      <x:c r="F171" s="48"/>
      <x:c r="G171" s="48"/>
      <x:c r="H171" s="48"/>
      <x:c r="I171" s="48"/>
      <x:c r="J171" s="48"/>
      <x:c r="K171" s="48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8"/>
      <x:c r="X171" s="48"/>
      <x:c r="Y171" s="48"/>
      <x:c r="Z171" s="48"/>
    </x:row>
    <x:row r="172">
      <x:c r="A172" s="48"/>
      <x:c r="B172" s="48"/>
      <x:c r="C172" s="48"/>
      <x:c r="D172" s="48"/>
      <x:c r="E172" s="48"/>
      <x:c r="F172" s="48"/>
      <x:c r="G172" s="48"/>
      <x:c r="H172" s="48"/>
      <x:c r="I172" s="48"/>
      <x:c r="J172" s="48"/>
      <x:c r="K172" s="48"/>
      <x:c r="L172" s="48"/>
      <x:c r="M172" s="48"/>
      <x:c r="N172" s="48"/>
      <x:c r="O172" s="48"/>
      <x:c r="P172" s="48"/>
      <x:c r="Q172" s="48"/>
      <x:c r="R172" s="48"/>
      <x:c r="S172" s="48"/>
      <x:c r="T172" s="48"/>
      <x:c r="U172" s="48"/>
      <x:c r="V172" s="48"/>
      <x:c r="W172" s="48"/>
      <x:c r="X172" s="48"/>
      <x:c r="Y172" s="48"/>
      <x:c r="Z172" s="48"/>
    </x:row>
    <x:row r="173">
      <x:c r="A173" s="48"/>
      <x:c r="B173" s="48"/>
      <x:c r="C173" s="48"/>
      <x:c r="D173" s="48"/>
      <x:c r="E173" s="48"/>
      <x:c r="F173" s="48"/>
      <x:c r="G173" s="48"/>
      <x:c r="H173" s="48"/>
      <x:c r="I173" s="48"/>
      <x:c r="J173" s="48"/>
      <x:c r="K173" s="48"/>
      <x:c r="L173" s="48"/>
      <x:c r="M173" s="48"/>
      <x:c r="N173" s="48"/>
      <x:c r="O173" s="48"/>
      <x:c r="P173" s="48"/>
      <x:c r="Q173" s="48"/>
      <x:c r="R173" s="48"/>
      <x:c r="S173" s="48"/>
      <x:c r="T173" s="48"/>
      <x:c r="U173" s="48"/>
      <x:c r="V173" s="48"/>
      <x:c r="W173" s="48"/>
      <x:c r="X173" s="48"/>
      <x:c r="Y173" s="48"/>
      <x:c r="Z173" s="48"/>
    </x:row>
    <x:row r="174">
      <x:c r="A174" s="48"/>
      <x:c r="B174" s="48"/>
      <x:c r="C174" s="48"/>
      <x:c r="D174" s="48"/>
      <x:c r="E174" s="48"/>
      <x:c r="F174" s="48"/>
      <x:c r="G174" s="48"/>
      <x:c r="H174" s="48"/>
      <x:c r="I174" s="48"/>
      <x:c r="J174" s="48"/>
      <x:c r="K174" s="48"/>
      <x:c r="L174" s="48"/>
      <x:c r="M174" s="48"/>
      <x:c r="N174" s="48"/>
      <x:c r="O174" s="48"/>
      <x:c r="P174" s="48"/>
      <x:c r="Q174" s="48"/>
      <x:c r="R174" s="48"/>
      <x:c r="S174" s="48"/>
      <x:c r="T174" s="48"/>
      <x:c r="U174" s="48"/>
      <x:c r="V174" s="48"/>
      <x:c r="W174" s="48"/>
      <x:c r="X174" s="48"/>
      <x:c r="Y174" s="48"/>
      <x:c r="Z174" s="48"/>
    </x:row>
    <x:row r="175">
      <x:c r="A175" s="48"/>
      <x:c r="B175" s="48"/>
      <x:c r="C175" s="48"/>
      <x:c r="D175" s="48"/>
      <x:c r="E175" s="48"/>
      <x:c r="F175" s="48"/>
      <x:c r="G175" s="48"/>
      <x:c r="H175" s="48"/>
      <x:c r="I175" s="48"/>
      <x:c r="J175" s="48"/>
      <x:c r="K175" s="48"/>
      <x:c r="L175" s="48"/>
      <x:c r="M175" s="48"/>
      <x:c r="N175" s="48"/>
      <x:c r="O175" s="48"/>
      <x:c r="P175" s="48"/>
      <x:c r="Q175" s="48"/>
      <x:c r="R175" s="48"/>
      <x:c r="S175" s="48"/>
      <x:c r="T175" s="48"/>
      <x:c r="U175" s="48"/>
      <x:c r="V175" s="48"/>
      <x:c r="W175" s="48"/>
      <x:c r="X175" s="48"/>
      <x:c r="Y175" s="48"/>
      <x:c r="Z175" s="48"/>
    </x:row>
    <x:row r="176">
      <x:c r="A176" s="48"/>
      <x:c r="B176" s="48"/>
      <x:c r="C176" s="48"/>
      <x:c r="D176" s="48"/>
      <x:c r="E176" s="48"/>
      <x:c r="F176" s="48"/>
      <x:c r="G176" s="48"/>
      <x:c r="H176" s="48"/>
      <x:c r="I176" s="48"/>
      <x:c r="J176" s="48"/>
      <x:c r="K176" s="48"/>
      <x:c r="L176" s="48"/>
      <x:c r="M176" s="48"/>
      <x:c r="N176" s="48"/>
      <x:c r="O176" s="48"/>
      <x:c r="P176" s="48"/>
      <x:c r="Q176" s="48"/>
      <x:c r="R176" s="48"/>
      <x:c r="S176" s="48"/>
      <x:c r="T176" s="48"/>
      <x:c r="U176" s="48"/>
      <x:c r="V176" s="48"/>
      <x:c r="W176" s="48"/>
      <x:c r="X176" s="48"/>
      <x:c r="Y176" s="48"/>
      <x:c r="Z176" s="48"/>
    </x:row>
    <x:row r="177">
      <x:c r="A177" s="48"/>
      <x:c r="B177" s="48"/>
      <x:c r="C177" s="48"/>
      <x:c r="D177" s="48"/>
      <x:c r="E177" s="48"/>
      <x:c r="F177" s="48"/>
      <x:c r="G177" s="48"/>
      <x:c r="H177" s="48"/>
      <x:c r="I177" s="48"/>
      <x:c r="J177" s="48"/>
      <x:c r="K177" s="48"/>
      <x:c r="L177" s="48"/>
      <x:c r="M177" s="48"/>
      <x:c r="N177" s="48"/>
      <x:c r="O177" s="48"/>
      <x:c r="P177" s="48"/>
      <x:c r="Q177" s="48"/>
      <x:c r="R177" s="48"/>
      <x:c r="S177" s="48"/>
      <x:c r="T177" s="48"/>
      <x:c r="U177" s="48"/>
      <x:c r="V177" s="48"/>
      <x:c r="W177" s="48"/>
      <x:c r="X177" s="48"/>
      <x:c r="Y177" s="48"/>
      <x:c r="Z177" s="48"/>
    </x:row>
    <x:row r="178">
      <x:c r="A178" s="48"/>
      <x:c r="B178" s="48"/>
      <x:c r="C178" s="48"/>
      <x:c r="D178" s="48"/>
      <x:c r="E178" s="48"/>
      <x:c r="F178" s="48"/>
      <x:c r="G178" s="48"/>
      <x:c r="H178" s="48"/>
      <x:c r="I178" s="48"/>
      <x:c r="J178" s="48"/>
      <x:c r="K178" s="48"/>
      <x:c r="L178" s="48"/>
      <x:c r="M178" s="48"/>
      <x:c r="N178" s="48"/>
      <x:c r="O178" s="48"/>
      <x:c r="P178" s="48"/>
      <x:c r="Q178" s="48"/>
      <x:c r="R178" s="48"/>
      <x:c r="S178" s="48"/>
      <x:c r="T178" s="48"/>
      <x:c r="U178" s="48"/>
      <x:c r="V178" s="48"/>
      <x:c r="W178" s="48"/>
      <x:c r="X178" s="48"/>
      <x:c r="Y178" s="48"/>
      <x:c r="Z178" s="48"/>
    </x:row>
    <x:row r="179">
      <x:c r="A179" s="48"/>
      <x:c r="B179" s="48"/>
      <x:c r="C179" s="48"/>
      <x:c r="D179" s="48"/>
      <x:c r="E179" s="48"/>
      <x:c r="F179" s="48"/>
      <x:c r="G179" s="48"/>
      <x:c r="H179" s="48"/>
      <x:c r="I179" s="48"/>
      <x:c r="J179" s="48"/>
      <x:c r="K179" s="48"/>
      <x:c r="L179" s="48"/>
      <x:c r="M179" s="48"/>
      <x:c r="N179" s="48"/>
      <x:c r="O179" s="48"/>
      <x:c r="P179" s="48"/>
      <x:c r="Q179" s="48"/>
      <x:c r="R179" s="48"/>
      <x:c r="S179" s="48"/>
      <x:c r="T179" s="48"/>
      <x:c r="U179" s="48"/>
      <x:c r="V179" s="48"/>
      <x:c r="W179" s="48"/>
      <x:c r="X179" s="48"/>
      <x:c r="Y179" s="48"/>
      <x:c r="Z179" s="48"/>
    </x:row>
    <x:row r="180">
      <x:c r="A180" s="48"/>
      <x:c r="B180" s="48"/>
      <x:c r="C180" s="48"/>
      <x:c r="D180" s="48"/>
      <x:c r="E180" s="48"/>
      <x:c r="F180" s="48"/>
      <x:c r="G180" s="48"/>
      <x:c r="H180" s="48"/>
      <x:c r="I180" s="48"/>
      <x:c r="J180" s="48"/>
      <x:c r="K180" s="48"/>
      <x:c r="L180" s="48"/>
      <x:c r="M180" s="48"/>
      <x:c r="N180" s="48"/>
      <x:c r="O180" s="48"/>
      <x:c r="P180" s="48"/>
      <x:c r="Q180" s="48"/>
      <x:c r="R180" s="48"/>
      <x:c r="S180" s="48"/>
      <x:c r="T180" s="48"/>
      <x:c r="U180" s="48"/>
      <x:c r="V180" s="48"/>
      <x:c r="W180" s="48"/>
      <x:c r="X180" s="48"/>
      <x:c r="Y180" s="48"/>
      <x:c r="Z180" s="48"/>
    </x:row>
    <x:row r="181">
      <x:c r="A181" s="48"/>
      <x:c r="B181" s="48"/>
      <x:c r="C181" s="48"/>
      <x:c r="D181" s="48"/>
      <x:c r="E181" s="48"/>
      <x:c r="F181" s="48"/>
      <x:c r="G181" s="48"/>
      <x:c r="H181" s="48"/>
      <x:c r="I181" s="48"/>
      <x:c r="J181" s="48"/>
      <x:c r="K181" s="48"/>
      <x:c r="L181" s="48"/>
      <x:c r="M181" s="48"/>
      <x:c r="N181" s="48"/>
      <x:c r="O181" s="48"/>
      <x:c r="P181" s="48"/>
      <x:c r="Q181" s="48"/>
      <x:c r="R181" s="48"/>
      <x:c r="S181" s="48"/>
      <x:c r="T181" s="48"/>
      <x:c r="U181" s="48"/>
      <x:c r="V181" s="48"/>
      <x:c r="W181" s="48"/>
      <x:c r="X181" s="48"/>
      <x:c r="Y181" s="48"/>
      <x:c r="Z181" s="48"/>
    </x:row>
    <x:row r="182">
      <x:c r="A182" s="48"/>
      <x:c r="B182" s="48"/>
      <x:c r="C182" s="48"/>
      <x:c r="D182" s="48"/>
      <x:c r="E182" s="48"/>
      <x:c r="F182" s="48"/>
      <x:c r="G182" s="48"/>
      <x:c r="H182" s="48"/>
      <x:c r="I182" s="48"/>
      <x:c r="J182" s="48"/>
      <x:c r="K182" s="48"/>
      <x:c r="L182" s="48"/>
      <x:c r="M182" s="48"/>
      <x:c r="N182" s="48"/>
      <x:c r="O182" s="48"/>
      <x:c r="P182" s="48"/>
      <x:c r="Q182" s="48"/>
      <x:c r="R182" s="48"/>
      <x:c r="S182" s="48"/>
      <x:c r="T182" s="48"/>
      <x:c r="U182" s="48"/>
      <x:c r="V182" s="48"/>
      <x:c r="W182" s="48"/>
      <x:c r="X182" s="48"/>
      <x:c r="Y182" s="48"/>
      <x:c r="Z182" s="48"/>
    </x:row>
    <x:row r="183">
      <x:c r="A183" s="48"/>
      <x:c r="B183" s="48"/>
      <x:c r="C183" s="48"/>
      <x:c r="D183" s="48"/>
      <x:c r="E183" s="48"/>
      <x:c r="F183" s="48"/>
      <x:c r="G183" s="48"/>
      <x:c r="H183" s="48"/>
      <x:c r="I183" s="48"/>
      <x:c r="J183" s="48"/>
      <x:c r="K183" s="48"/>
      <x:c r="L183" s="48"/>
      <x:c r="M183" s="48"/>
      <x:c r="N183" s="48"/>
      <x:c r="O183" s="48"/>
      <x:c r="P183" s="48"/>
      <x:c r="Q183" s="48"/>
      <x:c r="R183" s="48"/>
      <x:c r="S183" s="48"/>
      <x:c r="T183" s="48"/>
      <x:c r="U183" s="48"/>
      <x:c r="V183" s="48"/>
      <x:c r="W183" s="48"/>
      <x:c r="X183" s="48"/>
      <x:c r="Y183" s="48"/>
      <x:c r="Z183" s="48"/>
    </x:row>
    <x:row r="184">
      <x:c r="A184" s="48"/>
      <x:c r="B184" s="48"/>
      <x:c r="C184" s="48"/>
      <x:c r="D184" s="48"/>
      <x:c r="E184" s="48"/>
      <x:c r="F184" s="48"/>
      <x:c r="G184" s="48"/>
      <x:c r="H184" s="48"/>
      <x:c r="I184" s="48"/>
      <x:c r="J184" s="48"/>
      <x:c r="K184" s="48"/>
      <x:c r="L184" s="48"/>
      <x:c r="M184" s="48"/>
      <x:c r="N184" s="48"/>
      <x:c r="O184" s="48"/>
      <x:c r="P184" s="48"/>
      <x:c r="Q184" s="48"/>
      <x:c r="R184" s="48"/>
      <x:c r="S184" s="48"/>
      <x:c r="T184" s="48"/>
      <x:c r="U184" s="48"/>
      <x:c r="V184" s="48"/>
      <x:c r="W184" s="48"/>
      <x:c r="X184" s="48"/>
      <x:c r="Y184" s="48"/>
      <x:c r="Z184" s="48"/>
    </x:row>
    <x:row r="185">
      <x:c r="A185" s="48"/>
      <x:c r="B185" s="48"/>
      <x:c r="C185" s="48"/>
      <x:c r="D185" s="48"/>
      <x:c r="E185" s="48"/>
      <x:c r="F185" s="48"/>
      <x:c r="G185" s="48"/>
      <x:c r="H185" s="48"/>
      <x:c r="I185" s="48"/>
      <x:c r="J185" s="48"/>
      <x:c r="K185" s="48"/>
      <x:c r="L185" s="48"/>
      <x:c r="M185" s="48"/>
      <x:c r="N185" s="48"/>
      <x:c r="O185" s="48"/>
      <x:c r="P185" s="48"/>
      <x:c r="Q185" s="48"/>
      <x:c r="R185" s="48"/>
      <x:c r="S185" s="48"/>
      <x:c r="T185" s="48"/>
      <x:c r="U185" s="48"/>
      <x:c r="V185" s="48"/>
      <x:c r="W185" s="48"/>
      <x:c r="X185" s="48"/>
      <x:c r="Y185" s="48"/>
      <x:c r="Z185" s="48"/>
    </x:row>
    <x:row r="186">
      <x:c r="A186" s="48"/>
      <x:c r="B186" s="48"/>
      <x:c r="C186" s="48"/>
      <x:c r="D186" s="48"/>
      <x:c r="E186" s="48"/>
      <x:c r="F186" s="48"/>
      <x:c r="G186" s="48"/>
      <x:c r="H186" s="48"/>
      <x:c r="I186" s="48"/>
      <x:c r="J186" s="48"/>
      <x:c r="K186" s="48"/>
      <x:c r="L186" s="48"/>
      <x:c r="M186" s="48"/>
      <x:c r="N186" s="48"/>
      <x:c r="O186" s="48"/>
      <x:c r="P186" s="48"/>
      <x:c r="Q186" s="48"/>
      <x:c r="R186" s="48"/>
      <x:c r="S186" s="48"/>
      <x:c r="T186" s="48"/>
      <x:c r="U186" s="48"/>
      <x:c r="V186" s="48"/>
      <x:c r="W186" s="48"/>
      <x:c r="X186" s="48"/>
      <x:c r="Y186" s="48"/>
      <x:c r="Z186" s="48"/>
    </x:row>
    <x:row r="187">
      <x:c r="A187" s="48"/>
      <x:c r="B187" s="48"/>
      <x:c r="C187" s="48"/>
      <x:c r="D187" s="48"/>
      <x:c r="E187" s="48"/>
      <x:c r="F187" s="48"/>
      <x:c r="G187" s="48"/>
      <x:c r="H187" s="48"/>
      <x:c r="I187" s="48"/>
      <x:c r="J187" s="48"/>
      <x:c r="K187" s="48"/>
      <x:c r="L187" s="48"/>
      <x:c r="M187" s="48"/>
      <x:c r="N187" s="48"/>
      <x:c r="O187" s="48"/>
      <x:c r="P187" s="48"/>
      <x:c r="Q187" s="48"/>
      <x:c r="R187" s="48"/>
      <x:c r="S187" s="48"/>
      <x:c r="T187" s="48"/>
      <x:c r="U187" s="48"/>
      <x:c r="V187" s="48"/>
      <x:c r="W187" s="48"/>
      <x:c r="X187" s="48"/>
      <x:c r="Y187" s="48"/>
      <x:c r="Z187" s="48"/>
    </x:row>
    <x:row r="188">
      <x:c r="A188" s="48"/>
      <x:c r="B188" s="48"/>
      <x:c r="C188" s="48"/>
      <x:c r="D188" s="48"/>
      <x:c r="E188" s="48"/>
      <x:c r="F188" s="48"/>
      <x:c r="G188" s="48"/>
      <x:c r="H188" s="48"/>
      <x:c r="I188" s="48"/>
      <x:c r="J188" s="48"/>
      <x:c r="K188" s="48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  <x:c r="W188" s="48"/>
      <x:c r="X188" s="48"/>
      <x:c r="Y188" s="48"/>
      <x:c r="Z188" s="48"/>
    </x:row>
    <x:row r="189">
      <x:c r="A189" s="48"/>
      <x:c r="B189" s="48"/>
      <x:c r="C189" s="48"/>
      <x:c r="D189" s="48"/>
      <x:c r="E189" s="48"/>
      <x:c r="F189" s="48"/>
      <x:c r="G189" s="48"/>
      <x:c r="H189" s="48"/>
      <x:c r="I189" s="48"/>
      <x:c r="J189" s="48"/>
      <x:c r="K189" s="48"/>
      <x:c r="L189" s="48"/>
      <x:c r="M189" s="48"/>
      <x:c r="N189" s="48"/>
      <x:c r="O189" s="48"/>
      <x:c r="P189" s="48"/>
      <x:c r="Q189" s="48"/>
      <x:c r="R189" s="48"/>
      <x:c r="S189" s="48"/>
      <x:c r="T189" s="48"/>
      <x:c r="U189" s="48"/>
      <x:c r="V189" s="48"/>
      <x:c r="W189" s="48"/>
      <x:c r="X189" s="48"/>
      <x:c r="Y189" s="48"/>
      <x:c r="Z189" s="48"/>
    </x:row>
    <x:row r="190">
      <x:c r="A190" s="48"/>
      <x:c r="B190" s="48"/>
      <x:c r="C190" s="48"/>
      <x:c r="D190" s="48"/>
      <x:c r="E190" s="48"/>
      <x:c r="F190" s="48"/>
      <x:c r="G190" s="48"/>
      <x:c r="H190" s="48"/>
      <x:c r="I190" s="48"/>
      <x:c r="J190" s="48"/>
      <x:c r="K190" s="48"/>
      <x:c r="L190" s="48"/>
      <x:c r="M190" s="48"/>
      <x:c r="N190" s="48"/>
      <x:c r="O190" s="48"/>
      <x:c r="P190" s="48"/>
      <x:c r="Q190" s="48"/>
      <x:c r="R190" s="48"/>
      <x:c r="S190" s="48"/>
      <x:c r="T190" s="48"/>
      <x:c r="U190" s="48"/>
      <x:c r="V190" s="48"/>
      <x:c r="W190" s="48"/>
      <x:c r="X190" s="48"/>
      <x:c r="Y190" s="48"/>
      <x:c r="Z190" s="48"/>
    </x:row>
    <x:row r="191">
      <x:c r="A191" s="48"/>
      <x:c r="B191" s="48"/>
      <x:c r="C191" s="48"/>
      <x:c r="D191" s="48"/>
      <x:c r="E191" s="48"/>
      <x:c r="F191" s="48"/>
      <x:c r="G191" s="48"/>
      <x:c r="H191" s="48"/>
      <x:c r="I191" s="48"/>
      <x:c r="J191" s="48"/>
      <x:c r="K191" s="48"/>
      <x:c r="L191" s="48"/>
      <x:c r="M191" s="48"/>
      <x:c r="N191" s="48"/>
      <x:c r="O191" s="48"/>
      <x:c r="P191" s="48"/>
      <x:c r="Q191" s="48"/>
      <x:c r="R191" s="48"/>
      <x:c r="S191" s="48"/>
      <x:c r="T191" s="48"/>
      <x:c r="U191" s="48"/>
      <x:c r="V191" s="48"/>
      <x:c r="W191" s="48"/>
      <x:c r="X191" s="48"/>
      <x:c r="Y191" s="48"/>
      <x:c r="Z191" s="48"/>
    </x:row>
    <x:row r="192">
      <x:c r="A192" s="48"/>
      <x:c r="B192" s="48"/>
      <x:c r="C192" s="48"/>
      <x:c r="D192" s="48"/>
      <x:c r="E192" s="48"/>
      <x:c r="F192" s="48"/>
      <x:c r="G192" s="48"/>
      <x:c r="H192" s="48"/>
      <x:c r="I192" s="48"/>
      <x:c r="J192" s="48"/>
      <x:c r="K192" s="48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  <x:c r="W192" s="48"/>
      <x:c r="X192" s="48"/>
      <x:c r="Y192" s="48"/>
      <x:c r="Z192" s="48"/>
    </x:row>
    <x:row r="193">
      <x:c r="A193" s="48"/>
      <x:c r="B193" s="48"/>
      <x:c r="C193" s="48"/>
      <x:c r="D193" s="48"/>
      <x:c r="E193" s="48"/>
      <x:c r="F193" s="48"/>
      <x:c r="G193" s="48"/>
      <x:c r="H193" s="48"/>
      <x:c r="I193" s="48"/>
      <x:c r="J193" s="48"/>
      <x:c r="K193" s="48"/>
      <x:c r="L193" s="48"/>
      <x:c r="M193" s="48"/>
      <x:c r="N193" s="48"/>
      <x:c r="O193" s="48"/>
      <x:c r="P193" s="48"/>
      <x:c r="Q193" s="48"/>
      <x:c r="R193" s="48"/>
      <x:c r="S193" s="48"/>
      <x:c r="T193" s="48"/>
      <x:c r="U193" s="48"/>
      <x:c r="V193" s="48"/>
      <x:c r="W193" s="48"/>
      <x:c r="X193" s="48"/>
      <x:c r="Y193" s="48"/>
      <x:c r="Z193" s="48"/>
    </x:row>
    <x:row r="194">
      <x:c r="A194" s="48"/>
      <x:c r="B194" s="48"/>
      <x:c r="C194" s="48"/>
      <x:c r="D194" s="48"/>
      <x:c r="E194" s="48"/>
      <x:c r="F194" s="48"/>
      <x:c r="G194" s="48"/>
      <x:c r="H194" s="48"/>
      <x:c r="I194" s="48"/>
      <x:c r="J194" s="48"/>
      <x:c r="K194" s="48"/>
      <x:c r="L194" s="48"/>
      <x:c r="M194" s="48"/>
      <x:c r="N194" s="48"/>
      <x:c r="O194" s="48"/>
      <x:c r="P194" s="48"/>
      <x:c r="Q194" s="48"/>
      <x:c r="R194" s="48"/>
      <x:c r="S194" s="48"/>
      <x:c r="T194" s="48"/>
      <x:c r="U194" s="48"/>
      <x:c r="V194" s="48"/>
      <x:c r="W194" s="48"/>
      <x:c r="X194" s="48"/>
      <x:c r="Y194" s="48"/>
      <x:c r="Z194" s="48"/>
    </x:row>
    <x:row r="195">
      <x:c r="A195" s="48"/>
      <x:c r="B195" s="48"/>
      <x:c r="C195" s="48"/>
      <x:c r="D195" s="48"/>
      <x:c r="E195" s="48"/>
      <x:c r="F195" s="48"/>
      <x:c r="G195" s="48"/>
      <x:c r="H195" s="48"/>
      <x:c r="I195" s="48"/>
      <x:c r="J195" s="48"/>
      <x:c r="K195" s="48"/>
      <x:c r="L195" s="48"/>
      <x:c r="M195" s="48"/>
      <x:c r="N195" s="48"/>
      <x:c r="O195" s="48"/>
      <x:c r="P195" s="48"/>
      <x:c r="Q195" s="48"/>
      <x:c r="R195" s="48"/>
      <x:c r="S195" s="48"/>
      <x:c r="T195" s="48"/>
      <x:c r="U195" s="48"/>
      <x:c r="V195" s="48"/>
      <x:c r="W195" s="48"/>
      <x:c r="X195" s="48"/>
      <x:c r="Y195" s="48"/>
      <x:c r="Z195" s="48"/>
    </x:row>
    <x:row r="196">
      <x:c r="A196" s="48"/>
      <x:c r="B196" s="48"/>
      <x:c r="C196" s="48"/>
      <x:c r="D196" s="48"/>
      <x:c r="E196" s="48"/>
      <x:c r="F196" s="48"/>
      <x:c r="G196" s="48"/>
      <x:c r="H196" s="48"/>
      <x:c r="I196" s="48"/>
      <x:c r="J196" s="48"/>
      <x:c r="K196" s="48"/>
      <x:c r="L196" s="48"/>
      <x:c r="M196" s="48"/>
      <x:c r="N196" s="48"/>
      <x:c r="O196" s="48"/>
      <x:c r="P196" s="48"/>
      <x:c r="Q196" s="48"/>
      <x:c r="R196" s="48"/>
      <x:c r="S196" s="48"/>
      <x:c r="T196" s="48"/>
      <x:c r="U196" s="48"/>
      <x:c r="V196" s="48"/>
      <x:c r="W196" s="48"/>
      <x:c r="X196" s="48"/>
      <x:c r="Y196" s="48"/>
      <x:c r="Z196" s="48"/>
    </x:row>
    <x:row r="197">
      <x:c r="A197" s="48"/>
      <x:c r="B197" s="48"/>
      <x:c r="C197" s="48"/>
      <x:c r="D197" s="48"/>
      <x:c r="E197" s="48"/>
      <x:c r="F197" s="48"/>
      <x:c r="G197" s="48"/>
      <x:c r="H197" s="48"/>
      <x:c r="I197" s="48"/>
      <x:c r="J197" s="48"/>
      <x:c r="K197" s="48"/>
      <x:c r="L197" s="48"/>
      <x:c r="M197" s="48"/>
      <x:c r="N197" s="48"/>
      <x:c r="O197" s="48"/>
      <x:c r="P197" s="48"/>
      <x:c r="Q197" s="48"/>
      <x:c r="R197" s="48"/>
      <x:c r="S197" s="48"/>
      <x:c r="T197" s="48"/>
      <x:c r="U197" s="48"/>
      <x:c r="V197" s="48"/>
      <x:c r="W197" s="48"/>
      <x:c r="X197" s="48"/>
      <x:c r="Y197" s="48"/>
      <x:c r="Z197" s="48"/>
    </x:row>
    <x:row r="198">
      <x:c r="A198" s="48"/>
      <x:c r="B198" s="48"/>
      <x:c r="C198" s="48"/>
      <x:c r="D198" s="48"/>
      <x:c r="E198" s="48"/>
      <x:c r="F198" s="48"/>
      <x:c r="G198" s="48"/>
      <x:c r="H198" s="48"/>
      <x:c r="I198" s="48"/>
      <x:c r="J198" s="48"/>
      <x:c r="K198" s="48"/>
      <x:c r="L198" s="48"/>
      <x:c r="M198" s="48"/>
      <x:c r="N198" s="48"/>
      <x:c r="O198" s="48"/>
      <x:c r="P198" s="48"/>
      <x:c r="Q198" s="48"/>
      <x:c r="R198" s="48"/>
      <x:c r="S198" s="48"/>
      <x:c r="T198" s="48"/>
      <x:c r="U198" s="48"/>
      <x:c r="V198" s="48"/>
      <x:c r="W198" s="48"/>
      <x:c r="X198" s="48"/>
      <x:c r="Y198" s="48"/>
      <x:c r="Z198" s="48"/>
    </x:row>
    <x:row r="199">
      <x:c r="A199" s="48"/>
      <x:c r="B199" s="48"/>
      <x:c r="C199" s="48"/>
      <x:c r="D199" s="48"/>
      <x:c r="E199" s="48"/>
      <x:c r="F199" s="48"/>
      <x:c r="G199" s="48"/>
      <x:c r="H199" s="48"/>
      <x:c r="I199" s="48"/>
      <x:c r="J199" s="48"/>
      <x:c r="K199" s="48"/>
      <x:c r="L199" s="48"/>
      <x:c r="M199" s="48"/>
      <x:c r="N199" s="48"/>
      <x:c r="O199" s="48"/>
      <x:c r="P199" s="48"/>
      <x:c r="Q199" s="48"/>
      <x:c r="R199" s="48"/>
      <x:c r="S199" s="48"/>
      <x:c r="T199" s="48"/>
      <x:c r="U199" s="48"/>
      <x:c r="V199" s="48"/>
      <x:c r="W199" s="48"/>
      <x:c r="X199" s="48"/>
      <x:c r="Y199" s="48"/>
      <x:c r="Z199" s="48"/>
    </x:row>
    <x:row r="200">
      <x:c r="A200" s="48"/>
      <x:c r="B200" s="48"/>
      <x:c r="C200" s="48"/>
      <x:c r="D200" s="48"/>
      <x:c r="E200" s="48"/>
      <x:c r="F200" s="48"/>
      <x:c r="G200" s="48"/>
      <x:c r="H200" s="48"/>
      <x:c r="I200" s="48"/>
      <x:c r="J200" s="48"/>
      <x:c r="K200" s="48"/>
      <x:c r="L200" s="48"/>
      <x:c r="M200" s="48"/>
      <x:c r="N200" s="48"/>
      <x:c r="O200" s="48"/>
      <x:c r="P200" s="48"/>
      <x:c r="Q200" s="48"/>
      <x:c r="R200" s="48"/>
      <x:c r="S200" s="48"/>
      <x:c r="T200" s="48"/>
      <x:c r="U200" s="48"/>
      <x:c r="V200" s="48"/>
      <x:c r="W200" s="48"/>
      <x:c r="X200" s="48"/>
      <x:c r="Y200" s="48"/>
      <x:c r="Z200" s="48"/>
    </x:row>
  </x:sheetData>
  <x:pageMargins left="0.7" right="0.7" top="0.75" bottom="0.75" header="0.3" footer="0.3"/>
  <x:tableParts count="1">
    <x:tablePart xmlns:r="http://schemas.openxmlformats.org/officeDocument/2006/relationships" r:id="Rd26e8f9bd90d48d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34" hidden="0" customWidth="1"/>
    <x:col min="4" max="4" width="48" hidden="0" customWidth="1"/>
    <x:col min="5" max="5" width="24" hidden="0" customWidth="1"/>
    <x:col min="6" max="6" width="24" hidden="0" customWidth="1"/>
    <x:col min="7" max="7" width="52" hidden="0" customWidth="1"/>
    <x:col min="11" max="11" width="28" hidden="0" customWidth="1"/>
    <x:col min="12" max="12" width="18" hidden="0" customWidth="1"/>
    <x:col min="13" max="13" width="58" hidden="0" customWidth="1"/>
  </x:cols>
  <x:sheetData>
    <x:row r="1">
      <x:c r="A1" s="8" t="str">
        <x:v>Attribute</x:v>
      </x:c>
      <x:c r="B1" s="8" t="str">
        <x:v>0</x:v>
      </x:c>
      <x:c r="C1" s="8" t="str">
        <x:v>25</x:v>
      </x:c>
      <x:c r="D1" s="8" t="str">
        <x:v>50</x:v>
      </x:c>
      <x:c r="E1" s="8" t="str">
        <x:v>75</x:v>
      </x:c>
      <x:c r="F1" s="8" t="str">
        <x:v>100</x:v>
      </x:c>
      <x:c r="G1" s="8" t="str">
        <x:v>Definition</x:v>
      </x:c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48" t="str">
        <x:v>daily</x:v>
      </x:c>
      <x:c r="B2" s="48" t="str">
        <x:v>일상 러닝 목적 아님</x:v>
      </x:c>
      <x:c r="C2" s="48" t="str">
        <x:v>제한적 사용</x:v>
      </x:c>
      <x:c r="D2" s="48" t="str">
        <x:v>조건부 데일리</x:v>
      </x:c>
      <x:c r="E2" s="48" t="str">
        <x:v>데일리 활용 높음</x:v>
      </x:c>
      <x:c r="F2" s="48" t="str">
        <x:v>핵심 데일리 포지셔닝</x:v>
      </x:c>
      <x:c r="G2" s="48" t="str">
        <x:v>일상 조깅·기본 훈련에서 한 켤레로 쓰기 쉬운 정도. race 가능성과 분리.</x:v>
      </x:c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48" t="str">
        <x:v>comfort</x:v>
      </x:c>
      <x:c r="B3" s="48" t="str">
        <x:v>편안함 목적 아님</x:v>
      </x:c>
      <x:c r="C3" s="48" t="str">
        <x:v>낮은 편</x:v>
      </x:c>
      <x:c r="D3" s="48" t="str">
        <x:v>균형</x:v>
      </x:c>
      <x:c r="E3" s="48" t="str">
        <x:v>편안함 높은 편</x:v>
      </x:c>
      <x:c r="F3" s="48" t="str">
        <x:v>편안함이 핵심 포지셔닝</x:v>
      </x:c>
      <x:c r="G3" s="48" t="str">
        <x:v>편안함·보호감의 제품 성격. Cushioning 단일 수치가 아니라 실제 주행 comfort.</x:v>
      </x:c>
      <x:c r="H3" s="48"/>
      <x:c r="I3" s="48"/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>
      <x:c r="A4" s="48" t="str">
        <x:v>stability</x:v>
      </x:c>
      <x:c r="B4" s="48" t="str">
        <x:v>플랫폼 안정감 낮음</x:v>
      </x:c>
      <x:c r="C4" s="48" t="str">
        <x:v>낮은 편</x:v>
      </x:c>
      <x:c r="D4" s="48" t="str">
        <x:v>중립/보통</x:v>
      </x:c>
      <x:c r="E4" s="48" t="str">
        <x:v>플랫폼 안정감 높음</x:v>
      </x:c>
      <x:c r="F4" s="48" t="str">
        <x:v>매우 안정적인 플랫폼</x:v>
      </x:c>
      <x:c r="G4" s="48" t="str">
        <x:v>Platform stability. STABILITY_SUPPORT 여부는 primary_use=STABILITY 후보 제한으로 별도 판단.</x:v>
      </x:c>
      <x:c r="H4" s="48"/>
      <x:c r="I4" s="48"/>
      <x:c r="J4" s="48"/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>
      <x:c r="A5" s="48" t="str">
        <x:v>responsiveness</x:v>
      </x:c>
      <x:c r="B5" s="48" t="str">
        <x:v>반응감 목적 아님</x:v>
      </x:c>
      <x:c r="C5" s="48" t="str">
        <x:v>낮은 편</x:v>
      </x:c>
      <x:c r="D5" s="48" t="str">
        <x:v>중간</x:v>
      </x:c>
      <x:c r="E5" s="48" t="str">
        <x:v>반응감 높은 편</x:v>
      </x:c>
      <x:c r="F5" s="48" t="str">
        <x:v>반응감이 핵심</x:v>
      </x:c>
      <x:c r="G5" s="48" t="str">
        <x:v>Ride feel / 빠른 전환감·에너지감. Speed training 적합성과 구분.</x:v>
      </x:c>
      <x:c r="H5" s="48"/>
      <x:c r="I5" s="48"/>
      <x:c r="J5" s="48"/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>
      <x:c r="A6" s="48" t="str">
        <x:v>long_run</x:v>
      </x:c>
      <x:c r="B6" s="48" t="str">
        <x:v>장거리 목적 아님</x:v>
      </x:c>
      <x:c r="C6" s="48" t="str">
        <x:v>제한적</x:v>
      </x:c>
      <x:c r="D6" s="48" t="str">
        <x:v>보통</x:v>
      </x:c>
      <x:c r="E6" s="48" t="str">
        <x:v>장거리 활용 높음</x:v>
      </x:c>
      <x:c r="F6" s="48" t="str">
        <x:v>장거리가 핵심</x:v>
      </x:c>
      <x:c r="G6" s="48" t="str">
        <x:v>긴 거리에서 지속적으로 사용하기 좋은 제품 역할.</x:v>
      </x:c>
      <x:c r="H6" s="48"/>
      <x:c r="I6" s="48"/>
      <x:c r="J6" s="48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>
      <x:c r="A7" s="48" t="str">
        <x:v>speed</x:v>
      </x:c>
      <x:c r="B7" s="48" t="str">
        <x:v>빠른 훈련 목적 아님</x:v>
      </x:c>
      <x:c r="C7" s="48" t="str">
        <x:v>낮은 편</x:v>
      </x:c>
      <x:c r="D7" s="48" t="str">
        <x:v>보통</x:v>
      </x:c>
      <x:c r="E7" s="48" t="str">
        <x:v>스피드 훈련 적합</x:v>
      </x:c>
      <x:c r="F7" s="48" t="str">
        <x:v>스피드 훈련이 핵심</x:v>
      </x:c>
      <x:c r="G7" s="48" t="str">
        <x:v>Tempo / Interval / 빠른 Training 용도 적합성. 단순 반응감과 구분.</x:v>
      </x:c>
      <x:c r="H7" s="48"/>
      <x:c r="I7" s="48"/>
      <x:c r="J7" s="48"/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>
      <x:c r="A8" s="48" t="str">
        <x:v>race</x:v>
      </x:c>
      <x:c r="B8" s="48" t="str">
        <x:v>레이스 특화 아님</x:v>
      </x:c>
      <x:c r="C8" s="48" t="str">
        <x:v>낮은 특화</x:v>
      </x:c>
      <x:c r="D8" s="48" t="str">
        <x:v>훈련/레이스 겸용</x:v>
      </x:c>
      <x:c r="E8" s="48" t="str">
        <x:v>레이스 성격 강함</x:v>
      </x:c>
      <x:c r="F8" s="48" t="str">
        <x:v>전용 레이스 플래그십</x:v>
      </x:c>
      <x:c r="G8" s="48" t="str">
        <x:v>Race/PB 목적 '특화도'. 레이스에서 신을 수 있는가가 아니라 Competition 역할의 강도.</x:v>
      </x:c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>
      <x:c r="A9" s="48" t="str">
        <x:v>versatility</x:v>
      </x:c>
      <x:c r="B9" s="48" t="str">
        <x:v>용도 매우 제한</x:v>
      </x:c>
      <x:c r="C9" s="48" t="str">
        <x:v>제한적</x:v>
      </x:c>
      <x:c r="D9" s="48" t="str">
        <x:v>두세 용도 가능</x:v>
      </x:c>
      <x:c r="E9" s="48" t="str">
        <x:v>여러 훈련 커버</x:v>
      </x:c>
      <x:c r="F9" s="48" t="str">
        <x:v>범용성이 핵심</x:v>
      </x:c>
      <x:c r="G9" s="48" t="str">
        <x:v>서로 다른 러닝 역할을 한 켤레로 커버하는 정도. 일상생활 범용성과 구분.</x:v>
      </x:c>
      <x:c r="H9" s="48"/>
      <x:c r="I9" s="48"/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>
      <x:c r="A10" s="48"/>
      <x:c r="B10" s="48"/>
      <x:c r="C10" s="48"/>
      <x:c r="D10" s="48"/>
      <x:c r="E10" s="48"/>
      <x:c r="F10" s="48"/>
      <x:c r="G10" s="48"/>
      <x:c r="H10" s="48"/>
      <x:c r="I10" s="48"/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>
      <x:c r="A11" s="48"/>
      <x:c r="B11" s="48"/>
      <x:c r="C11" s="48"/>
      <x:c r="D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>
      <x:c r="A12" s="8" t="str">
        <x:v>Base Component</x:v>
      </x:c>
      <x:c r="B12" s="8" t="str">
        <x:v>Weight</x:v>
      </x:c>
      <x:c r="C12" s="8" t="str">
        <x:v>Version</x:v>
      </x:c>
      <x:c r="D12" s="48"/>
      <x:c r="E12" s="48"/>
      <x:c r="F12" s="48"/>
      <x:c r="G12" s="48"/>
      <x:c r="H12" s="48"/>
      <x:c r="I12" s="48"/>
      <x:c r="J12" s="48"/>
      <x:c r="K12" s="79" t="str">
        <x:v>Penalty Code</x:v>
      </x:c>
      <x:c r="L12" s="79" t="str">
        <x:v>Value</x:v>
      </x:c>
      <x:c r="M12" s="79" t="str">
        <x:v>Condition</x:v>
      </x:c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>
      <x:c r="A13" s="48" t="str">
        <x:v>Gear Need Match</x:v>
      </x:c>
      <x:c r="B13" s="60" t="n">
        <x:v>0.3</x:v>
      </x:c>
      <x:c r="C13" s="48" t="str">
        <x:v>gear_reco_v1.1</x:v>
      </x:c>
      <x:c r="D13" s="48"/>
      <x:c r="E13" s="48"/>
      <x:c r="F13" s="48"/>
      <x:c r="G13" s="48"/>
      <x:c r="H13" s="48"/>
      <x:c r="I13" s="48"/>
      <x:c r="J13" s="48"/>
      <x:c r="K13" s="49" t="str">
        <x:v>DIRECTION_ROLE_MISMATCH</x:v>
      </x:c>
      <x:c r="L13" s="49"/>
      <x:c r="M13" s="49" t="str">
        <x:v>Hard Exclude: Direction 허용 Role 밖의 Product</x:v>
      </x:c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>
      <x:c r="A14" s="48" t="str">
        <x:v>Priority Match</x:v>
      </x:c>
      <x:c r="B14" s="60" t="n">
        <x:v>0.25</x:v>
      </x:c>
      <x:c r="C14" s="48" t="str">
        <x:v>gear_reco_v1.1</x:v>
      </x:c>
      <x:c r="D14" s="48"/>
      <x:c r="E14" s="48"/>
      <x:c r="F14" s="48"/>
      <x:c r="G14" s="48"/>
      <x:c r="H14" s="48"/>
      <x:c r="I14" s="48"/>
      <x:c r="J14" s="48"/>
      <x:c r="K14" s="49" t="str">
        <x:v>INSUFFICIENT_EVIDENCE</x:v>
      </x:c>
      <x:c r="L14" s="49"/>
      <x:c r="M14" s="49" t="str">
        <x:v>Hard Exclude: P0 Attribute / Source 불충분</x:v>
      </x:c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48" t="str">
        <x:v>Usage / Distance Fit</x:v>
      </x:c>
      <x:c r="B15" s="60" t="n">
        <x:v>0.15</x:v>
      </x:c>
      <x:c r="C15" s="48" t="str">
        <x:v>gear_reco_v1.1</x:v>
      </x:c>
      <x:c r="D15" s="48"/>
      <x:c r="E15" s="48"/>
      <x:c r="F15" s="48"/>
      <x:c r="G15" s="48"/>
      <x:c r="H15" s="48"/>
      <x:c r="I15" s="48"/>
      <x:c r="J15" s="48"/>
      <x:c r="K15" s="49" t="str">
        <x:v>SPECIALIZED_UNREQUESTED</x:v>
      </x:c>
      <x:c r="L15" s="49" t="n">
        <x:v>-20</x:v>
      </x:c>
      <x:c r="M15" s="49" t="str">
        <x:v>Need != RACE 이고 Product specialization = SPECIALIZED</x:v>
      </x:c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48" t="str">
        <x:v>Current Shoe Transition</x:v>
      </x:c>
      <x:c r="B16" s="60" t="n">
        <x:v>0.2</x:v>
      </x:c>
      <x:c r="C16" s="48" t="str">
        <x:v>gear_reco_v1.1</x:v>
      </x:c>
      <x:c r="D16" s="48"/>
      <x:c r="E16" s="48"/>
      <x:c r="F16" s="48"/>
      <x:c r="G16" s="48"/>
      <x:c r="H16" s="48"/>
      <x:c r="I16" s="48"/>
      <x:c r="J16" s="48"/>
      <x:c r="K16" s="49" t="str">
        <x:v>PRIORITY_MISMATCH</x:v>
      </x:c>
      <x:c r="L16" s="49" t="n">
        <x:v>-10</x:v>
      </x:c>
      <x:c r="M16" s="49" t="str">
        <x:v>Priority = STABILITY 이고 stability &lt; 40</x:v>
      </x:c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48" t="str">
        <x:v>Profile Fit</x:v>
      </x:c>
      <x:c r="B17" s="60" t="n">
        <x:v>0.1</x:v>
      </x:c>
      <x:c r="C17" s="48" t="str">
        <x:v>gear_reco_v1.1</x:v>
      </x:c>
      <x:c r="D17" s="48"/>
      <x:c r="E17" s="48"/>
      <x:c r="F17" s="48"/>
      <x:c r="G17" s="48"/>
      <x:c r="H17" s="48"/>
      <x:c r="I17" s="48"/>
      <x:c r="J17" s="48"/>
      <x:c r="K17" s="49" t="str">
        <x:v>DISTANCE_MISMATCH</x:v>
      </x:c>
      <x:c r="L17" s="49" t="n">
        <x:v>-15</x:v>
      </x:c>
      <x:c r="M17" s="49" t="str">
        <x:v>Need = DISTANCE 이고 long_run &lt; 40</x:v>
      </x:c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48"/>
      <x:c r="B18" s="48"/>
      <x:c r="C18" s="48"/>
      <x:c r="D18" s="48"/>
      <x:c r="E18" s="48"/>
      <x:c r="F18" s="48"/>
      <x:c r="G18" s="48"/>
      <x:c r="H18" s="48"/>
      <x:c r="I18" s="48"/>
      <x:c r="J18" s="48"/>
      <x:c r="K18" s="49" t="str">
        <x:v>RACE_MISMATCH</x:v>
      </x:c>
      <x:c r="L18" s="49" t="n">
        <x:v>-20</x:v>
      </x:c>
      <x:c r="M18" s="49" t="str">
        <x:v>Need = RACE 이고 race &lt; 50</x:v>
      </x:c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/>
      <x:c r="K19" s="49" t="str">
        <x:v>NO_MEANINGFUL_TRANSITION</x:v>
      </x:c>
      <x:c r="L19" s="49" t="n">
        <x:v>-10</x:v>
      </x:c>
      <x:c r="M19" s="49" t="str">
        <x:v>Current Shoe 대비 목표 Axis 변화가 모두 |delta| &lt; 10</x:v>
      </x:c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8" t="str">
        <x:v>Need</x:v>
      </x:c>
      <x:c r="B20" s="8" t="str">
        <x:v>daily</x:v>
      </x:c>
      <x:c r="C20" s="8" t="str">
        <x:v>comfort</x:v>
      </x:c>
      <x:c r="D20" s="8" t="str">
        <x:v>stability</x:v>
      </x:c>
      <x:c r="E20" s="8" t="str">
        <x:v>responsiveness</x:v>
      </x:c>
      <x:c r="F20" s="8" t="str">
        <x:v>long_run</x:v>
      </x:c>
      <x:c r="G20" s="8" t="str">
        <x:v>speed</x:v>
      </x:c>
      <x:c r="H20" s="8" t="str">
        <x:v>race</x:v>
      </x:c>
      <x:c r="I20" s="8" t="str">
        <x:v>versatility</x:v>
      </x:c>
      <x:c r="J20" s="48"/>
      <x:c r="K20" s="8"/>
      <x:c r="L20" s="8"/>
      <x:c r="M20" s="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48" t="str">
        <x:v>COMFORT</x:v>
      </x:c>
      <x:c r="B21" s="60" t="n">
        <x:v>0.25</x:v>
      </x:c>
      <x:c r="C21" s="60" t="n">
        <x:v>0.4</x:v>
      </x:c>
      <x:c r="D21" s="60" t="n">
        <x:v>0.1</x:v>
      </x:c>
      <x:c r="E21" s="60" t="n">
        <x:v>0</x:v>
      </x:c>
      <x:c r="F21" s="60" t="n">
        <x:v>0.15</x:v>
      </x:c>
      <x:c r="G21" s="60" t="n">
        <x:v>0</x:v>
      </x:c>
      <x:c r="H21" s="60" t="n">
        <x:v>0</x:v>
      </x:c>
      <x:c r="I21" s="60" t="n">
        <x:v>0.1</x:v>
      </x:c>
      <x:c r="J21" s="48"/>
      <x:c r="K21" s="49"/>
      <x:c r="L21" s="49"/>
      <x:c r="M21" s="49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48" t="str">
        <x:v>SPEED</x:v>
      </x:c>
      <x:c r="B22" s="60" t="n">
        <x:v>0.1</x:v>
      </x:c>
      <x:c r="C22" s="60" t="n">
        <x:v>0</x:v>
      </x:c>
      <x:c r="D22" s="60" t="n">
        <x:v>0</x:v>
      </x:c>
      <x:c r="E22" s="60" t="n">
        <x:v>0.25</x:v>
      </x:c>
      <x:c r="F22" s="60" t="n">
        <x:v>0</x:v>
      </x:c>
      <x:c r="G22" s="60" t="n">
        <x:v>0.45</x:v>
      </x:c>
      <x:c r="H22" s="60" t="n">
        <x:v>0</x:v>
      </x:c>
      <x:c r="I22" s="60" t="n">
        <x:v>0.2</x:v>
      </x:c>
      <x:c r="J22" s="48"/>
      <x:c r="K22" s="79" t="str">
        <x:v>Delta Range</x:v>
      </x:c>
      <x:c r="L22" s="79" t="str">
        <x:v>User Label</x:v>
      </x:c>
      <x:c r="M22" s="79" t="str">
        <x:v>Rule</x:v>
      </x:c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48" t="str">
        <x:v>DISTANCE</x:v>
      </x:c>
      <x:c r="B23" s="60" t="n">
        <x:v>0.15</x:v>
      </x:c>
      <x:c r="C23" s="60" t="n">
        <x:v>0.25</x:v>
      </x:c>
      <x:c r="D23" s="60" t="n">
        <x:v>0.1</x:v>
      </x:c>
      <x:c r="E23" s="60" t="n">
        <x:v>0</x:v>
      </x:c>
      <x:c r="F23" s="60" t="n">
        <x:v>0.4</x:v>
      </x:c>
      <x:c r="G23" s="60" t="n">
        <x:v>0</x:v>
      </x:c>
      <x:c r="H23" s="60" t="n">
        <x:v>0</x:v>
      </x:c>
      <x:c r="I23" s="60" t="n">
        <x:v>0.1</x:v>
      </x:c>
      <x:c r="J23" s="48"/>
      <x:c r="K23" s="49" t="str">
        <x:v>&gt;= +20</x:v>
      </x:c>
      <x:c r="L23" s="49" t="str">
        <x:v>더 높은 편</x:v>
      </x:c>
      <x:c r="M23" s="49" t="str">
        <x:v>candidate - current &gt;= 20</x:v>
      </x:c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48" t="str">
        <x:v>RACE</x:v>
      </x:c>
      <x:c r="B24" s="60" t="n">
        <x:v>0</x:v>
      </x:c>
      <x:c r="C24" s="60" t="n">
        <x:v>0</x:v>
      </x:c>
      <x:c r="D24" s="60" t="n">
        <x:v>0.05</x:v>
      </x:c>
      <x:c r="E24" s="60" t="n">
        <x:v>0.15</x:v>
      </x:c>
      <x:c r="F24" s="60" t="n">
        <x:v>0</x:v>
      </x:c>
      <x:c r="G24" s="60" t="n">
        <x:v>0.2</x:v>
      </x:c>
      <x:c r="H24" s="60" t="n">
        <x:v>0.6</x:v>
      </x:c>
      <x:c r="I24" s="60" t="n">
        <x:v>0</x:v>
      </x:c>
      <x:c r="J24" s="48"/>
      <x:c r="K24" s="49" t="str">
        <x:v>+10 ~ +19</x:v>
      </x:c>
      <x:c r="L24" s="49" t="str">
        <x:v>조금 높은 편</x:v>
      </x:c>
      <x:c r="M24" s="49" t="str">
        <x:v>10 &lt;= delta &lt;= 19</x:v>
      </x:c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48" t="str">
        <x:v>UNSURE</x:v>
      </x:c>
      <x:c r="B25" s="60" t="n">
        <x:v>0.25</x:v>
      </x:c>
      <x:c r="C25" s="60" t="n">
        <x:v>0.15</x:v>
      </x:c>
      <x:c r="D25" s="60" t="n">
        <x:v>0.1</x:v>
      </x:c>
      <x:c r="E25" s="60" t="n">
        <x:v>0.1</x:v>
      </x:c>
      <x:c r="F25" s="60" t="n">
        <x:v>0.1</x:v>
      </x:c>
      <x:c r="G25" s="60" t="n">
        <x:v>0</x:v>
      </x:c>
      <x:c r="H25" s="60" t="n">
        <x:v>0</x:v>
      </x:c>
      <x:c r="I25" s="60" t="n">
        <x:v>0.3</x:v>
      </x:c>
      <x:c r="J25" s="48"/>
      <x:c r="K25" s="49" t="str">
        <x:v>-9 ~ +9</x:v>
      </x:c>
      <x:c r="L25" s="49" t="str">
        <x:v>비슷한 편</x:v>
      </x:c>
      <x:c r="M25" s="49" t="str">
        <x:v>-9 &lt;= delta &lt;= 9</x:v>
      </x:c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48"/>
      <x:c r="B26" s="48"/>
      <x:c r="C26" s="48"/>
      <x:c r="D26" s="48"/>
      <x:c r="E26" s="48"/>
      <x:c r="F26" s="48"/>
      <x:c r="G26" s="48"/>
      <x:c r="H26" s="48"/>
      <x:c r="I26" s="48"/>
      <x:c r="J26" s="48"/>
      <x:c r="K26" s="49" t="str">
        <x:v>-19 ~ -10</x:v>
      </x:c>
      <x:c r="L26" s="49" t="str">
        <x:v>조금 낮은 편</x:v>
      </x:c>
      <x:c r="M26" s="49" t="str">
        <x:v>-19 &lt;= delta &lt;= -10</x:v>
      </x:c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48"/>
      <x:c r="B27" s="48"/>
      <x:c r="C27" s="48"/>
      <x:c r="D27" s="48"/>
      <x:c r="E27" s="48"/>
      <x:c r="F27" s="48"/>
      <x:c r="G27" s="48"/>
      <x:c r="H27" s="48"/>
      <x:c r="I27" s="48"/>
      <x:c r="J27" s="48"/>
      <x:c r="K27" s="49" t="str">
        <x:v>&lt;= -20</x:v>
      </x:c>
      <x:c r="L27" s="49" t="str">
        <x:v>더 낮은 편</x:v>
      </x:c>
      <x:c r="M27" s="49" t="str">
        <x:v>delta &lt;= -20</x:v>
      </x:c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8" t="str">
        <x:v>Direction</x:v>
      </x:c>
      <x:c r="B28" s="8" t="str">
        <x:v>daily</x:v>
      </x:c>
      <x:c r="C28" s="8" t="str">
        <x:v>comfort</x:v>
      </x:c>
      <x:c r="D28" s="8" t="str">
        <x:v>stability</x:v>
      </x:c>
      <x:c r="E28" s="8" t="str">
        <x:v>responsiveness</x:v>
      </x:c>
      <x:c r="F28" s="8" t="str">
        <x:v>long_run</x:v>
      </x:c>
      <x:c r="G28" s="8" t="str">
        <x:v>speed</x:v>
      </x:c>
      <x:c r="H28" s="8" t="str">
        <x:v>race</x:v>
      </x:c>
      <x:c r="I28" s="8" t="str">
        <x:v>versatility</x:v>
      </x:c>
      <x:c r="J28" s="48"/>
      <x:c r="K28" s="49"/>
      <x:c r="L28" s="49"/>
      <x:c r="M28" s="49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48" t="str">
        <x:v>DAILY_COMFORT</x:v>
      </x:c>
      <x:c r="B29" s="60" t="n">
        <x:v>0.3</x:v>
      </x:c>
      <x:c r="C29" s="60" t="n">
        <x:v>0.45</x:v>
      </x:c>
      <x:c r="D29" s="60" t="n">
        <x:v>0.1</x:v>
      </x:c>
      <x:c r="E29" s="60" t="n">
        <x:v>0</x:v>
      </x:c>
      <x:c r="F29" s="60" t="n">
        <x:v>0</x:v>
      </x:c>
      <x:c r="G29" s="60" t="n">
        <x:v>0</x:v>
      </x:c>
      <x:c r="H29" s="60" t="n">
        <x:v>0</x:v>
      </x:c>
      <x:c r="I29" s="60" t="n">
        <x:v>0.15</x:v>
      </x:c>
      <x:c r="J29" s="48"/>
      <x:c r="K29" s="49"/>
      <x:c r="L29" s="49"/>
      <x:c r="M29" s="49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48" t="str">
        <x:v>BALANCED_ALLROUND</x:v>
      </x:c>
      <x:c r="B30" s="60" t="n">
        <x:v>0.25</x:v>
      </x:c>
      <x:c r="C30" s="60" t="n">
        <x:v>0.1</x:v>
      </x:c>
      <x:c r="D30" s="60" t="n">
        <x:v>0.1</x:v>
      </x:c>
      <x:c r="E30" s="60" t="n">
        <x:v>0.1</x:v>
      </x:c>
      <x:c r="F30" s="60" t="n">
        <x:v>0.05</x:v>
      </x:c>
      <x:c r="G30" s="60" t="n">
        <x:v>0</x:v>
      </x:c>
      <x:c r="H30" s="60" t="n">
        <x:v>0</x:v>
      </x:c>
      <x:c r="I30" s="60" t="n">
        <x:v>0.4</x:v>
      </x:c>
      <x:c r="J30" s="48"/>
      <x:c r="K30" s="79" t="str">
        <x:v>Engine Rule</x:v>
      </x:c>
      <x:c r="L30" s="79" t="str">
        <x:v>Value</x:v>
      </x:c>
      <x:c r="M30" s="79" t="str">
        <x:v>Description</x:v>
      </x:c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48" t="str">
        <x:v>STABILITY_SUPPORT</x:v>
      </x:c>
      <x:c r="B31" s="60" t="n">
        <x:v>0.15</x:v>
      </x:c>
      <x:c r="C31" s="60" t="n">
        <x:v>0.2</x:v>
      </x:c>
      <x:c r="D31" s="60" t="n">
        <x:v>0.55</x:v>
      </x:c>
      <x:c r="E31" s="60" t="n">
        <x:v>0</x:v>
      </x:c>
      <x:c r="F31" s="60" t="n">
        <x:v>0</x:v>
      </x:c>
      <x:c r="G31" s="60" t="n">
        <x:v>0</x:v>
      </x:c>
      <x:c r="H31" s="60" t="n">
        <x:v>0</x:v>
      </x:c>
      <x:c r="I31" s="60" t="n">
        <x:v>0.1</x:v>
      </x:c>
      <x:c r="J31" s="48"/>
      <x:c r="K31" s="49" t="str">
        <x:v>CURRENT_SHOE_UNKNOWN</x:v>
      </x:c>
      <x:c r="L31" s="49" t="str">
        <x:v>RENORMALIZE</x:v>
      </x:c>
      <x:c r="M31" s="49" t="str">
        <x:v>Transition 20%를 50점으로 채우지 않고 나머지 80% Component를 100%로 재정규화</x:v>
      </x:c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48" t="str">
        <x:v>LONG_DISTANCE</x:v>
      </x:c>
      <x:c r="B32" s="60" t="n">
        <x:v>0.05</x:v>
      </x:c>
      <x:c r="C32" s="60" t="n">
        <x:v>0.25</x:v>
      </x:c>
      <x:c r="D32" s="60" t="n">
        <x:v>0.1</x:v>
      </x:c>
      <x:c r="E32" s="60" t="n">
        <x:v>0</x:v>
      </x:c>
      <x:c r="F32" s="60" t="n">
        <x:v>0.5</x:v>
      </x:c>
      <x:c r="G32" s="60" t="n">
        <x:v>0</x:v>
      </x:c>
      <x:c r="H32" s="60" t="n">
        <x:v>0</x:v>
      </x:c>
      <x:c r="I32" s="60" t="n">
        <x:v>0.1</x:v>
      </x:c>
      <x:c r="J32" s="48"/>
      <x:c r="K32" s="49" t="str">
        <x:v>UNSURE_DIRECTION_3</x:v>
      </x:c>
      <x:c r="L32" s="49" t="str">
        <x:v>CONTEXT_DYNAMIC</x:v>
      </x:c>
      <x:c r="M32" s="49" t="str">
        <x:v>BALANCED + DAILY 후 3번째 Direction은 Current Shoe와 가장 다른 비-RACE Direction. Current Shoe가 없으면 Follow-up 우선</x:v>
      </x:c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48" t="str">
        <x:v>SPEED_TRAINING</x:v>
      </x:c>
      <x:c r="B33" s="60" t="n">
        <x:v>0.1</x:v>
      </x:c>
      <x:c r="C33" s="60" t="n">
        <x:v>0</x:v>
      </x:c>
      <x:c r="D33" s="60" t="n">
        <x:v>0</x:v>
      </x:c>
      <x:c r="E33" s="60" t="n">
        <x:v>0.3</x:v>
      </x:c>
      <x:c r="F33" s="60" t="n">
        <x:v>0</x:v>
      </x:c>
      <x:c r="G33" s="60" t="n">
        <x:v>0.5</x:v>
      </x:c>
      <x:c r="H33" s="60" t="n">
        <x:v>0</x:v>
      </x:c>
      <x:c r="I33" s="60" t="n">
        <x:v>0.1</x:v>
      </x:c>
      <x:c r="J33" s="48"/>
      <x:c r="K33" s="49" t="str">
        <x:v>RUNNER_TYPE_WEIGHT</x:v>
      </x:c>
      <x:c r="L33" s="49" t="str">
        <x:v>TIE_BREAK_ONLY</x:v>
      </x:c>
      <x:c r="M33" s="49" t="str">
        <x:v>Runner Type은 최종 Score ±5 이내 Tie-break 또는 설명에만 사용</x:v>
      </x:c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48" t="str">
        <x:v>PERFORMANCE_STEPUP</x:v>
      </x:c>
      <x:c r="B34" s="60" t="n">
        <x:v>0</x:v>
      </x:c>
      <x:c r="C34" s="60" t="n">
        <x:v>0</x:v>
      </x:c>
      <x:c r="D34" s="60" t="n">
        <x:v>0</x:v>
      </x:c>
      <x:c r="E34" s="60" t="n">
        <x:v>0.3</x:v>
      </x:c>
      <x:c r="F34" s="60" t="n">
        <x:v>0.1</x:v>
      </x:c>
      <x:c r="G34" s="60" t="n">
        <x:v>0.35</x:v>
      </x:c>
      <x:c r="H34" s="60" t="n">
        <x:v>0</x:v>
      </x:c>
      <x:c r="I34" s="60" t="n">
        <x:v>0.25</x:v>
      </x:c>
      <x:c r="J34" s="48"/>
      <x:c r="K34" s="49" t="str">
        <x:v>USER_VISIBLE_SCORE</x:v>
      </x:c>
      <x:c r="L34" s="49" t="str">
        <x:v>OFF</x:v>
      </x:c>
      <x:c r="M34" s="49" t="str">
        <x:v>내부 0~100 적합도/유사도 수치는 사용자에게 노출하지 않음</x:v>
      </x:c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48" t="str">
        <x:v>RACE_FOCUS</x:v>
      </x:c>
      <x:c r="B35" s="60" t="n">
        <x:v>0</x:v>
      </x:c>
      <x:c r="C35" s="60" t="n">
        <x:v>0</x:v>
      </x:c>
      <x:c r="D35" s="60" t="n">
        <x:v>0.05</x:v>
      </x:c>
      <x:c r="E35" s="60" t="n">
        <x:v>0.15</x:v>
      </x:c>
      <x:c r="F35" s="60" t="n">
        <x:v>0</x:v>
      </x:c>
      <x:c r="G35" s="60" t="n">
        <x:v>0.2</x:v>
      </x:c>
      <x:c r="H35" s="60" t="n">
        <x:v>0.6</x:v>
      </x:c>
      <x:c r="I35" s="60" t="n">
        <x:v>0</x:v>
      </x:c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 ht="34" customHeight="1">
      <x:c r="A38" s="79" t="str">
        <x:v>Direction</x:v>
      </x:c>
      <x:c r="B38" s="79" t="str">
        <x:v>Allowed Primary Use</x:v>
      </x:c>
      <x:c r="C38" s="79" t="str">
        <x:v>Role Rule</x:v>
      </x:c>
      <x:c r="D38" s="79" t="str">
        <x:v>Purpose</x:v>
      </x:c>
      <x:c r="E38" s="48"/>
      <x:c r="F38" s="48"/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 ht="34" customHeight="1">
      <x:c r="A39" s="49" t="str">
        <x:v>DAILY_COMFORT</x:v>
      </x:c>
      <x:c r="B39" s="49" t="str">
        <x:v>DAILY|CUSHION_LONG|STABILITY</x:v>
      </x:c>
      <x:c r="C39" s="49" t="str">
        <x:v>RACE 제외</x:v>
      </x:c>
      <x:c r="D39" s="49" t="str">
        <x:v>편안한 easy/daily 선택</x:v>
      </x:c>
      <x:c r="E39" s="48"/>
      <x:c r="F39" s="48"/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 ht="34" customHeight="1">
      <x:c r="A40" s="49" t="str">
        <x:v>BALANCED_ALLROUND</x:v>
      </x:c>
      <x:c r="B40" s="49" t="str">
        <x:v>DAILY|CUSHION_LONG|SPEED_TRAINING|SUPER_TRAINER</x:v>
      </x:c>
      <x:c r="C40" s="49" t="str">
        <x:v>SPECIALIZED/RACE 기본 제외</x:v>
      </x:c>
      <x:c r="D40" s="49" t="str">
        <x:v>한 켤레 범용성</x:v>
      </x:c>
      <x:c r="E40" s="48"/>
      <x:c r="F40" s="48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 ht="34" customHeight="1">
      <x:c r="A41" s="49" t="str">
        <x:v>STABILITY_SUPPORT</x:v>
      </x:c>
      <x:c r="B41" s="49" t="str">
        <x:v>STABILITY</x:v>
      </x:c>
      <x:c r="C41" s="49" t="str">
        <x:v>primary_use=STABILITY Hard Filter</x:v>
      </x:c>
      <x:c r="D41" s="49" t="str">
        <x:v>Platform stability 점수만으로 Neutral Shoe가 침투하지 않게 함</x:v>
      </x:c>
      <x:c r="E41" s="48"/>
      <x:c r="F41" s="48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 ht="34" customHeight="1">
      <x:c r="A42" s="49" t="str">
        <x:v>LONG_DISTANCE</x:v>
      </x:c>
      <x:c r="B42" s="49" t="str">
        <x:v>CUSHION_LONG|DAILY|SUPER_TRAINER</x:v>
      </x:c>
      <x:c r="C42" s="49" t="str">
        <x:v>RACE 기본 제외</x:v>
      </x:c>
      <x:c r="D42" s="49" t="str">
        <x:v>장거리 지속성</x:v>
      </x:c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 ht="34" customHeight="1">
      <x:c r="A43" s="49" t="str">
        <x:v>SPEED_TRAINING</x:v>
      </x:c>
      <x:c r="B43" s="49" t="str">
        <x:v>SPEED_TRAINING|SUPER_TRAINER</x:v>
      </x:c>
      <x:c r="C43" s="49" t="str">
        <x:v>RACE는 Need=RACE일 때만 별도 Direction</x:v>
      </x:c>
      <x:c r="D43" s="49" t="str">
        <x:v>빠른 훈련</x:v>
      </x:c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 ht="34" customHeight="1">
      <x:c r="A44" s="49" t="str">
        <x:v>PERFORMANCE_STEPUP</x:v>
      </x:c>
      <x:c r="B44" s="49" t="str">
        <x:v>DAILY|SPEED_TRAINING|SUPER_TRAINER</x:v>
      </x:c>
      <x:c r="C44" s="49" t="str">
        <x:v>Current Shoe 대비 의미 있는 변화 필요</x:v>
      </x:c>
      <x:c r="D44" s="49" t="str">
        <x:v>현재 신발 기준 성능 상승</x:v>
      </x:c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 ht="34" customHeight="1">
      <x:c r="A45" s="49" t="str">
        <x:v>RACE_FOCUS</x:v>
      </x:c>
      <x:c r="B45" s="49" t="str">
        <x:v>RACE</x:v>
      </x:c>
      <x:c r="C45" s="49" t="str">
        <x:v>Need=RACE 또는 명시적 Race Context</x:v>
      </x:c>
      <x:c r="D45" s="49" t="str">
        <x:v>Competition 특화</x:v>
      </x:c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48"/>
      <x:c r="B61" s="48"/>
      <x:c r="C61" s="48"/>
      <x:c r="D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48"/>
      <x:c r="B62" s="48"/>
      <x:c r="C62" s="48"/>
      <x:c r="D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48"/>
      <x:c r="B63" s="48"/>
      <x:c r="C63" s="48"/>
      <x:c r="D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48"/>
      <x:c r="B64" s="48"/>
      <x:c r="C64" s="48"/>
      <x:c r="D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48"/>
      <x:c r="B65" s="48"/>
      <x:c r="C65" s="48"/>
      <x:c r="D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48"/>
      <x:c r="B66" s="48"/>
      <x:c r="C66" s="48"/>
      <x:c r="D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48"/>
      <x:c r="B67" s="48"/>
      <x:c r="C67" s="48"/>
      <x:c r="D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48"/>
      <x:c r="B68" s="48"/>
      <x:c r="C68" s="48"/>
      <x:c r="D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48"/>
      <x:c r="B69" s="48"/>
      <x:c r="C69" s="48"/>
      <x:c r="D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48"/>
      <x:c r="B70" s="48"/>
      <x:c r="C70" s="48"/>
      <x:c r="D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48"/>
      <x:c r="B71" s="48"/>
      <x:c r="C71" s="48"/>
      <x:c r="D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48"/>
      <x:c r="B72" s="48"/>
      <x:c r="C72" s="48"/>
      <x:c r="D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48"/>
      <x:c r="B73" s="48"/>
      <x:c r="C73" s="48"/>
      <x:c r="D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48"/>
      <x:c r="B74" s="48"/>
      <x:c r="C74" s="48"/>
      <x:c r="D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48"/>
      <x:c r="B75" s="48"/>
      <x:c r="C75" s="48"/>
      <x:c r="D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48"/>
      <x:c r="B76" s="48"/>
      <x:c r="C76" s="48"/>
      <x:c r="D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48"/>
      <x:c r="B77" s="48"/>
      <x:c r="C77" s="48"/>
      <x:c r="D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48"/>
      <x:c r="B78" s="48"/>
      <x:c r="C78" s="48"/>
      <x:c r="D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48"/>
      <x:c r="B79" s="48"/>
      <x:c r="C79" s="48"/>
      <x:c r="D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48"/>
      <x:c r="B80" s="48"/>
      <x:c r="C80" s="48"/>
      <x:c r="D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48"/>
      <x:c r="B81" s="48"/>
      <x:c r="C81" s="48"/>
      <x:c r="D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48"/>
      <x:c r="B82" s="48"/>
      <x:c r="C82" s="48"/>
      <x:c r="D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48"/>
      <x:c r="B83" s="48"/>
      <x:c r="C83" s="48"/>
      <x:c r="D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48"/>
      <x:c r="B84" s="48"/>
      <x:c r="C84" s="48"/>
      <x:c r="D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48"/>
      <x:c r="B85" s="48"/>
      <x:c r="C85" s="48"/>
      <x:c r="D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48"/>
      <x:c r="B86" s="48"/>
      <x:c r="C86" s="48"/>
      <x:c r="D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48"/>
      <x:c r="B87" s="48"/>
      <x:c r="C87" s="48"/>
      <x:c r="D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48"/>
      <x:c r="B88" s="48"/>
      <x:c r="C88" s="48"/>
      <x:c r="D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48"/>
      <x:c r="B89" s="48"/>
      <x:c r="C89" s="48"/>
      <x:c r="D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48"/>
      <x:c r="B90" s="48"/>
      <x:c r="C90" s="48"/>
      <x:c r="D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48"/>
      <x:c r="B91" s="48"/>
      <x:c r="C91" s="48"/>
      <x:c r="D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48"/>
      <x:c r="B92" s="48"/>
      <x:c r="C92" s="48"/>
      <x:c r="D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48"/>
      <x:c r="B93" s="48"/>
      <x:c r="C93" s="48"/>
      <x:c r="D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48"/>
      <x:c r="B94" s="48"/>
      <x:c r="C94" s="48"/>
      <x:c r="D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48"/>
      <x:c r="B95" s="48"/>
      <x:c r="C95" s="48"/>
      <x:c r="D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48"/>
      <x:c r="B96" s="48"/>
      <x:c r="C96" s="48"/>
      <x:c r="D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48"/>
      <x:c r="B97" s="48"/>
      <x:c r="C97" s="48"/>
      <x:c r="D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48"/>
      <x:c r="B98" s="48"/>
      <x:c r="C98" s="48"/>
      <x:c r="D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48"/>
      <x:c r="B99" s="48"/>
      <x:c r="C99" s="48"/>
      <x:c r="D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48"/>
      <x:c r="B100" s="48"/>
      <x:c r="C100" s="48"/>
      <x:c r="D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48"/>
      <x:c r="B101" s="48"/>
      <x:c r="C101" s="48"/>
      <x:c r="D101" s="48"/>
      <x:c r="E101" s="48"/>
      <x:c r="F101" s="48"/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48"/>
      <x:c r="B102" s="48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48"/>
      <x:c r="B103" s="48"/>
      <x:c r="C103" s="48"/>
      <x:c r="D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48"/>
      <x:c r="B104" s="48"/>
      <x:c r="C104" s="48"/>
      <x:c r="D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48"/>
      <x:c r="B105" s="48"/>
      <x:c r="C105" s="48"/>
      <x:c r="D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48"/>
      <x:c r="B106" s="48"/>
      <x:c r="C106" s="48"/>
      <x:c r="D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48"/>
      <x:c r="B107" s="48"/>
      <x:c r="C107" s="48"/>
      <x:c r="D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48"/>
      <x:c r="B108" s="48"/>
      <x:c r="C108" s="48"/>
      <x:c r="D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48"/>
      <x:c r="B109" s="48"/>
      <x:c r="C109" s="48"/>
      <x:c r="D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48"/>
      <x:c r="B110" s="48"/>
      <x:c r="C110" s="48"/>
      <x:c r="D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48"/>
      <x:c r="B111" s="48"/>
      <x:c r="C111" s="48"/>
      <x:c r="D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48"/>
      <x:c r="B112" s="48"/>
      <x:c r="C112" s="48"/>
      <x:c r="D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48"/>
      <x:c r="B113" s="48"/>
      <x:c r="C113" s="48"/>
      <x:c r="D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48"/>
      <x:c r="B114" s="48"/>
      <x:c r="C114" s="48"/>
      <x:c r="D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48"/>
      <x:c r="B115" s="48"/>
      <x:c r="C115" s="48"/>
      <x:c r="D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48"/>
      <x:c r="B116" s="48"/>
      <x:c r="C116" s="48"/>
      <x:c r="D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48"/>
      <x:c r="B117" s="48"/>
      <x:c r="C117" s="48"/>
      <x:c r="D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48"/>
      <x:c r="B118" s="48"/>
      <x:c r="C118" s="48"/>
      <x:c r="D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48"/>
      <x:c r="B119" s="48"/>
      <x:c r="C119" s="48"/>
      <x:c r="D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48"/>
      <x:c r="B120" s="48"/>
      <x:c r="C120" s="48"/>
      <x:c r="D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  <x:row r="121">
      <x:c r="A121" s="48"/>
      <x:c r="B121" s="48"/>
      <x:c r="C121" s="48"/>
      <x:c r="D121" s="48"/>
      <x:c r="E121" s="48"/>
      <x:c r="F121" s="48"/>
      <x:c r="G121" s="48"/>
      <x:c r="H121" s="48"/>
      <x:c r="I121" s="48"/>
      <x:c r="J121" s="48"/>
      <x:c r="K121" s="48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8"/>
      <x:c r="Z121" s="48"/>
    </x:row>
    <x:row r="122">
      <x:c r="A122" s="48"/>
      <x:c r="B122" s="48"/>
      <x:c r="C122" s="48"/>
      <x:c r="D122" s="48"/>
      <x:c r="E122" s="48"/>
      <x:c r="F122" s="48"/>
      <x:c r="G122" s="48"/>
      <x:c r="H122" s="48"/>
      <x:c r="I122" s="48"/>
      <x:c r="J122" s="48"/>
      <x:c r="K122" s="48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8"/>
      <x:c r="Z122" s="48"/>
    </x:row>
    <x:row r="123">
      <x:c r="A123" s="48"/>
      <x:c r="B123" s="48"/>
      <x:c r="C123" s="48"/>
      <x:c r="D123" s="48"/>
      <x:c r="E123" s="48"/>
      <x:c r="F123" s="48"/>
      <x:c r="G123" s="48"/>
      <x:c r="H123" s="48"/>
      <x:c r="I123" s="48"/>
      <x:c r="J123" s="48"/>
      <x:c r="K123" s="48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8"/>
      <x:c r="Z123" s="48"/>
    </x:row>
    <x:row r="124">
      <x:c r="A124" s="48"/>
      <x:c r="B124" s="48"/>
      <x:c r="C124" s="48"/>
      <x:c r="D124" s="48"/>
      <x:c r="E124" s="48"/>
      <x:c r="F124" s="48"/>
      <x:c r="G124" s="48"/>
      <x:c r="H124" s="48"/>
      <x:c r="I124" s="48"/>
      <x:c r="J124" s="48"/>
      <x:c r="K124" s="48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8"/>
      <x:c r="Z124" s="48"/>
    </x:row>
    <x:row r="125">
      <x:c r="A125" s="48"/>
      <x:c r="B125" s="48"/>
      <x:c r="C125" s="48"/>
      <x:c r="D125" s="48"/>
      <x:c r="E125" s="48"/>
      <x:c r="F125" s="48"/>
      <x:c r="G125" s="48"/>
      <x:c r="H125" s="48"/>
      <x:c r="I125" s="48"/>
      <x:c r="J125" s="48"/>
      <x:c r="K125" s="48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8"/>
      <x:c r="X125" s="48"/>
      <x:c r="Y125" s="48"/>
      <x:c r="Z125" s="48"/>
    </x:row>
    <x:row r="126">
      <x:c r="A126" s="48"/>
      <x:c r="B126" s="48"/>
      <x:c r="C126" s="48"/>
      <x:c r="D126" s="48"/>
      <x:c r="E126" s="48"/>
      <x:c r="F126" s="48"/>
      <x:c r="G126" s="48"/>
      <x:c r="H126" s="48"/>
      <x:c r="I126" s="48"/>
      <x:c r="J126" s="48"/>
      <x:c r="K126" s="48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8"/>
      <x:c r="X126" s="48"/>
      <x:c r="Y126" s="48"/>
      <x:c r="Z126" s="48"/>
    </x:row>
    <x:row r="127">
      <x:c r="A127" s="48"/>
      <x:c r="B127" s="48"/>
      <x:c r="C127" s="48"/>
      <x:c r="D127" s="48"/>
      <x:c r="E127" s="48"/>
      <x:c r="F127" s="48"/>
      <x:c r="G127" s="48"/>
      <x:c r="H127" s="48"/>
      <x:c r="I127" s="48"/>
      <x:c r="J127" s="48"/>
      <x:c r="K127" s="48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8"/>
      <x:c r="X127" s="48"/>
      <x:c r="Y127" s="48"/>
      <x:c r="Z127" s="48"/>
    </x:row>
    <x:row r="128">
      <x:c r="A128" s="48"/>
      <x:c r="B128" s="48"/>
      <x:c r="C128" s="48"/>
      <x:c r="D128" s="48"/>
      <x:c r="E128" s="48"/>
      <x:c r="F128" s="48"/>
      <x:c r="G128" s="48"/>
      <x:c r="H128" s="48"/>
      <x:c r="I128" s="48"/>
      <x:c r="J128" s="48"/>
      <x:c r="K128" s="48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8"/>
      <x:c r="X128" s="48"/>
      <x:c r="Y128" s="48"/>
      <x:c r="Z128" s="48"/>
    </x:row>
    <x:row r="129">
      <x:c r="A129" s="48"/>
      <x:c r="B129" s="48"/>
      <x:c r="C129" s="48"/>
      <x:c r="D129" s="48"/>
      <x:c r="E129" s="48"/>
      <x:c r="F129" s="48"/>
      <x:c r="G129" s="48"/>
      <x:c r="H129" s="48"/>
      <x:c r="I129" s="48"/>
      <x:c r="J129" s="48"/>
      <x:c r="K129" s="48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8"/>
      <x:c r="X129" s="48"/>
      <x:c r="Y129" s="48"/>
      <x:c r="Z129" s="48"/>
    </x:row>
    <x:row r="130">
      <x:c r="A130" s="48"/>
      <x:c r="B130" s="48"/>
      <x:c r="C130" s="48"/>
      <x:c r="D130" s="48"/>
      <x:c r="E130" s="48"/>
      <x:c r="F130" s="48"/>
      <x:c r="G130" s="48"/>
      <x:c r="H130" s="48"/>
      <x:c r="I130" s="48"/>
      <x:c r="J130" s="48"/>
      <x:c r="K130" s="48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8"/>
      <x:c r="X130" s="48"/>
      <x:c r="Y130" s="48"/>
      <x:c r="Z130" s="48"/>
    </x:row>
    <x:row r="131">
      <x:c r="A131" s="48"/>
      <x:c r="B131" s="48"/>
      <x:c r="C131" s="48"/>
      <x:c r="D131" s="48"/>
      <x:c r="E131" s="48"/>
      <x:c r="F131" s="48"/>
      <x:c r="G131" s="48"/>
      <x:c r="H131" s="48"/>
      <x:c r="I131" s="48"/>
      <x:c r="J131" s="48"/>
      <x:c r="K131" s="48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8"/>
      <x:c r="X131" s="48"/>
      <x:c r="Y131" s="48"/>
      <x:c r="Z131" s="48"/>
    </x:row>
    <x:row r="132">
      <x:c r="A132" s="48"/>
      <x:c r="B132" s="48"/>
      <x:c r="C132" s="48"/>
      <x:c r="D132" s="48"/>
      <x:c r="E132" s="48"/>
      <x:c r="F132" s="48"/>
      <x:c r="G132" s="48"/>
      <x:c r="H132" s="48"/>
      <x:c r="I132" s="48"/>
      <x:c r="J132" s="48"/>
      <x:c r="K132" s="48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8"/>
      <x:c r="X132" s="48"/>
      <x:c r="Y132" s="48"/>
      <x:c r="Z132" s="48"/>
    </x:row>
    <x:row r="133">
      <x:c r="A133" s="48"/>
      <x:c r="B133" s="48"/>
      <x:c r="C133" s="48"/>
      <x:c r="D133" s="48"/>
      <x:c r="E133" s="48"/>
      <x:c r="F133" s="48"/>
      <x:c r="G133" s="48"/>
      <x:c r="H133" s="48"/>
      <x:c r="I133" s="48"/>
      <x:c r="J133" s="48"/>
      <x:c r="K133" s="48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8"/>
      <x:c r="X133" s="48"/>
      <x:c r="Y133" s="48"/>
      <x:c r="Z133" s="48"/>
    </x:row>
    <x:row r="134">
      <x:c r="A134" s="48"/>
      <x:c r="B134" s="48"/>
      <x:c r="C134" s="48"/>
      <x:c r="D134" s="48"/>
      <x:c r="E134" s="48"/>
      <x:c r="F134" s="48"/>
      <x:c r="G134" s="48"/>
      <x:c r="H134" s="48"/>
      <x:c r="I134" s="48"/>
      <x:c r="J134" s="48"/>
      <x:c r="K134" s="48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8"/>
      <x:c r="X134" s="48"/>
      <x:c r="Y134" s="48"/>
      <x:c r="Z134" s="48"/>
    </x:row>
    <x:row r="135">
      <x:c r="A135" s="48"/>
      <x:c r="B135" s="48"/>
      <x:c r="C135" s="48"/>
      <x:c r="D135" s="48"/>
      <x:c r="E135" s="48"/>
      <x:c r="F135" s="48"/>
      <x:c r="G135" s="48"/>
      <x:c r="H135" s="48"/>
      <x:c r="I135" s="48"/>
      <x:c r="J135" s="48"/>
      <x:c r="K135" s="48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8"/>
      <x:c r="X135" s="48"/>
      <x:c r="Y135" s="48"/>
      <x:c r="Z135" s="48"/>
    </x:row>
    <x:row r="136">
      <x:c r="A136" s="48"/>
      <x:c r="B136" s="48"/>
      <x:c r="C136" s="48"/>
      <x:c r="D136" s="48"/>
      <x:c r="E136" s="48"/>
      <x:c r="F136" s="48"/>
      <x:c r="G136" s="48"/>
      <x:c r="H136" s="48"/>
      <x:c r="I136" s="48"/>
      <x:c r="J136" s="48"/>
      <x:c r="K136" s="48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8"/>
      <x:c r="X136" s="48"/>
      <x:c r="Y136" s="48"/>
      <x:c r="Z136" s="48"/>
    </x:row>
    <x:row r="137">
      <x:c r="A137" s="48"/>
      <x:c r="B137" s="48"/>
      <x:c r="C137" s="48"/>
      <x:c r="D137" s="48"/>
      <x:c r="E137" s="48"/>
      <x:c r="F137" s="48"/>
      <x:c r="G137" s="48"/>
      <x:c r="H137" s="48"/>
      <x:c r="I137" s="48"/>
      <x:c r="J137" s="48"/>
      <x:c r="K137" s="48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8"/>
      <x:c r="X137" s="48"/>
      <x:c r="Y137" s="48"/>
      <x:c r="Z137" s="48"/>
    </x:row>
    <x:row r="138">
      <x:c r="A138" s="48"/>
      <x:c r="B138" s="48"/>
      <x:c r="C138" s="48"/>
      <x:c r="D138" s="48"/>
      <x:c r="E138" s="48"/>
      <x:c r="F138" s="48"/>
      <x:c r="G138" s="48"/>
      <x:c r="H138" s="48"/>
      <x:c r="I138" s="48"/>
      <x:c r="J138" s="48"/>
      <x:c r="K138" s="48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8"/>
      <x:c r="X138" s="48"/>
      <x:c r="Y138" s="48"/>
      <x:c r="Z138" s="48"/>
    </x:row>
    <x:row r="139">
      <x:c r="A139" s="48"/>
      <x:c r="B139" s="48"/>
      <x:c r="C139" s="48"/>
      <x:c r="D139" s="48"/>
      <x:c r="E139" s="48"/>
      <x:c r="F139" s="48"/>
      <x:c r="G139" s="48"/>
      <x:c r="H139" s="48"/>
      <x:c r="I139" s="48"/>
      <x:c r="J139" s="48"/>
      <x:c r="K139" s="48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8"/>
      <x:c r="X139" s="48"/>
      <x:c r="Y139" s="48"/>
      <x:c r="Z139" s="48"/>
    </x:row>
    <x:row r="140">
      <x:c r="A140" s="48"/>
      <x:c r="B140" s="48"/>
      <x:c r="C140" s="48"/>
      <x:c r="D140" s="48"/>
      <x:c r="E140" s="48"/>
      <x:c r="F140" s="48"/>
      <x:c r="G140" s="48"/>
      <x:c r="H140" s="48"/>
      <x:c r="I140" s="48"/>
      <x:c r="J140" s="48"/>
      <x:c r="K140" s="48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8"/>
      <x:c r="X140" s="48"/>
      <x:c r="Y140" s="48"/>
      <x:c r="Z140" s="48"/>
    </x:row>
    <x:row r="141">
      <x:c r="A141" s="48"/>
      <x:c r="B141" s="48"/>
      <x:c r="C141" s="48"/>
      <x:c r="D141" s="48"/>
      <x:c r="E141" s="48"/>
      <x:c r="F141" s="48"/>
      <x:c r="G141" s="48"/>
      <x:c r="H141" s="48"/>
      <x:c r="I141" s="48"/>
      <x:c r="J141" s="48"/>
      <x:c r="K141" s="48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8"/>
      <x:c r="X141" s="48"/>
      <x:c r="Y141" s="48"/>
      <x:c r="Z141" s="48"/>
    </x:row>
    <x:row r="142">
      <x:c r="A142" s="48"/>
      <x:c r="B142" s="48"/>
      <x:c r="C142" s="48"/>
      <x:c r="D142" s="48"/>
      <x:c r="E142" s="48"/>
      <x:c r="F142" s="48"/>
      <x:c r="G142" s="48"/>
      <x:c r="H142" s="48"/>
      <x:c r="I142" s="48"/>
      <x:c r="J142" s="48"/>
      <x:c r="K142" s="48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8"/>
      <x:c r="X142" s="48"/>
      <x:c r="Y142" s="48"/>
      <x:c r="Z142" s="48"/>
    </x:row>
    <x:row r="143">
      <x:c r="A143" s="48"/>
      <x:c r="B143" s="48"/>
      <x:c r="C143" s="48"/>
      <x:c r="D143" s="48"/>
      <x:c r="E143" s="48"/>
      <x:c r="F143" s="48"/>
      <x:c r="G143" s="48"/>
      <x:c r="H143" s="48"/>
      <x:c r="I143" s="48"/>
      <x:c r="J143" s="48"/>
      <x:c r="K143" s="48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8"/>
      <x:c r="X143" s="48"/>
      <x:c r="Y143" s="48"/>
      <x:c r="Z143" s="48"/>
    </x:row>
    <x:row r="144">
      <x:c r="A144" s="48"/>
      <x:c r="B144" s="48"/>
      <x:c r="C144" s="48"/>
      <x:c r="D144" s="48"/>
      <x:c r="E144" s="48"/>
      <x:c r="F144" s="48"/>
      <x:c r="G144" s="48"/>
      <x:c r="H144" s="48"/>
      <x:c r="I144" s="48"/>
      <x:c r="J144" s="48"/>
      <x:c r="K144" s="48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8"/>
      <x:c r="X144" s="48"/>
      <x:c r="Y144" s="48"/>
      <x:c r="Z144" s="48"/>
    </x:row>
    <x:row r="145">
      <x:c r="A145" s="48"/>
      <x:c r="B145" s="48"/>
      <x:c r="C145" s="48"/>
      <x:c r="D145" s="48"/>
      <x:c r="E145" s="48"/>
      <x:c r="F145" s="48"/>
      <x:c r="G145" s="48"/>
      <x:c r="H145" s="48"/>
      <x:c r="I145" s="48"/>
      <x:c r="J145" s="48"/>
      <x:c r="K145" s="48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8"/>
      <x:c r="X145" s="48"/>
      <x:c r="Y145" s="48"/>
      <x:c r="Z145" s="48"/>
    </x:row>
    <x:row r="146">
      <x:c r="A146" s="48"/>
      <x:c r="B146" s="48"/>
      <x:c r="C146" s="48"/>
      <x:c r="D146" s="48"/>
      <x:c r="E146" s="48"/>
      <x:c r="F146" s="48"/>
      <x:c r="G146" s="48"/>
      <x:c r="H146" s="48"/>
      <x:c r="I146" s="48"/>
      <x:c r="J146" s="48"/>
      <x:c r="K146" s="48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8"/>
      <x:c r="X146" s="48"/>
      <x:c r="Y146" s="48"/>
      <x:c r="Z146" s="48"/>
    </x:row>
    <x:row r="147">
      <x:c r="A147" s="48"/>
      <x:c r="B147" s="48"/>
      <x:c r="C147" s="48"/>
      <x:c r="D147" s="48"/>
      <x:c r="E147" s="48"/>
      <x:c r="F147" s="48"/>
      <x:c r="G147" s="48"/>
      <x:c r="H147" s="48"/>
      <x:c r="I147" s="48"/>
      <x:c r="J147" s="48"/>
      <x:c r="K147" s="48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8"/>
      <x:c r="X147" s="48"/>
      <x:c r="Y147" s="48"/>
      <x:c r="Z147" s="48"/>
    </x:row>
    <x:row r="148">
      <x:c r="A148" s="48"/>
      <x:c r="B148" s="48"/>
      <x:c r="C148" s="48"/>
      <x:c r="D148" s="48"/>
      <x:c r="E148" s="48"/>
      <x:c r="F148" s="48"/>
      <x:c r="G148" s="48"/>
      <x:c r="H148" s="48"/>
      <x:c r="I148" s="48"/>
      <x:c r="J148" s="48"/>
      <x:c r="K148" s="48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8"/>
      <x:c r="X148" s="48"/>
      <x:c r="Y148" s="48"/>
      <x:c r="Z148" s="48"/>
    </x:row>
    <x:row r="149">
      <x:c r="A149" s="48"/>
      <x:c r="B149" s="48"/>
      <x:c r="C149" s="48"/>
      <x:c r="D149" s="48"/>
      <x:c r="E149" s="48"/>
      <x:c r="F149" s="48"/>
      <x:c r="G149" s="48"/>
      <x:c r="H149" s="48"/>
      <x:c r="I149" s="48"/>
      <x:c r="J149" s="48"/>
      <x:c r="K149" s="48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8"/>
      <x:c r="X149" s="48"/>
      <x:c r="Y149" s="48"/>
      <x:c r="Z149" s="48"/>
    </x:row>
    <x:row r="150">
      <x:c r="A150" s="48"/>
      <x:c r="B150" s="48"/>
      <x:c r="C150" s="48"/>
      <x:c r="D150" s="48"/>
      <x:c r="E150" s="48"/>
      <x:c r="F150" s="48"/>
      <x:c r="G150" s="48"/>
      <x:c r="H150" s="48"/>
      <x:c r="I150" s="48"/>
      <x:c r="J150" s="48"/>
      <x:c r="K150" s="48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8"/>
      <x:c r="X150" s="48"/>
      <x:c r="Y150" s="48"/>
      <x:c r="Z150" s="48"/>
    </x:row>
    <x:row r="151">
      <x:c r="A151" s="48"/>
      <x:c r="B151" s="48"/>
      <x:c r="C151" s="48"/>
      <x:c r="D151" s="48"/>
      <x:c r="E151" s="48"/>
      <x:c r="F151" s="48"/>
      <x:c r="G151" s="48"/>
      <x:c r="H151" s="48"/>
      <x:c r="I151" s="48"/>
      <x:c r="J151" s="48"/>
      <x:c r="K151" s="48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8"/>
      <x:c r="X151" s="48"/>
      <x:c r="Y151" s="48"/>
      <x:c r="Z151" s="48"/>
    </x:row>
    <x:row r="152">
      <x:c r="A152" s="48"/>
      <x:c r="B152" s="48"/>
      <x:c r="C152" s="48"/>
      <x:c r="D152" s="48"/>
      <x:c r="E152" s="48"/>
      <x:c r="F152" s="48"/>
      <x:c r="G152" s="48"/>
      <x:c r="H152" s="48"/>
      <x:c r="I152" s="48"/>
      <x:c r="J152" s="48"/>
      <x:c r="K152" s="48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8"/>
      <x:c r="X152" s="48"/>
      <x:c r="Y152" s="48"/>
      <x:c r="Z152" s="48"/>
    </x:row>
    <x:row r="153">
      <x:c r="A153" s="48"/>
      <x:c r="B153" s="48"/>
      <x:c r="C153" s="48"/>
      <x:c r="D153" s="48"/>
      <x:c r="E153" s="48"/>
      <x:c r="F153" s="48"/>
      <x:c r="G153" s="48"/>
      <x:c r="H153" s="48"/>
      <x:c r="I153" s="48"/>
      <x:c r="J153" s="48"/>
      <x:c r="K153" s="48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8"/>
      <x:c r="X153" s="48"/>
      <x:c r="Y153" s="48"/>
      <x:c r="Z153" s="48"/>
    </x:row>
    <x:row r="154">
      <x:c r="A154" s="48"/>
      <x:c r="B154" s="48"/>
      <x:c r="C154" s="48"/>
      <x:c r="D154" s="48"/>
      <x:c r="E154" s="48"/>
      <x:c r="F154" s="48"/>
      <x:c r="G154" s="48"/>
      <x:c r="H154" s="48"/>
      <x:c r="I154" s="48"/>
      <x:c r="J154" s="48"/>
      <x:c r="K154" s="48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8"/>
      <x:c r="X154" s="48"/>
      <x:c r="Y154" s="48"/>
      <x:c r="Z154" s="48"/>
    </x:row>
    <x:row r="155">
      <x:c r="A155" s="48"/>
      <x:c r="B155" s="48"/>
      <x:c r="C155" s="48"/>
      <x:c r="D155" s="48"/>
      <x:c r="E155" s="48"/>
      <x:c r="F155" s="48"/>
      <x:c r="G155" s="48"/>
      <x:c r="H155" s="48"/>
      <x:c r="I155" s="48"/>
      <x:c r="J155" s="48"/>
      <x:c r="K155" s="48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8"/>
      <x:c r="X155" s="48"/>
      <x:c r="Y155" s="48"/>
      <x:c r="Z155" s="48"/>
    </x:row>
    <x:row r="156">
      <x:c r="A156" s="48"/>
      <x:c r="B156" s="48"/>
      <x:c r="C156" s="48"/>
      <x:c r="D156" s="48"/>
      <x:c r="E156" s="48"/>
      <x:c r="F156" s="48"/>
      <x:c r="G156" s="48"/>
      <x:c r="H156" s="48"/>
      <x:c r="I156" s="48"/>
      <x:c r="J156" s="48"/>
      <x:c r="K156" s="48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8"/>
      <x:c r="X156" s="48"/>
      <x:c r="Y156" s="48"/>
      <x:c r="Z156" s="48"/>
    </x:row>
    <x:row r="157">
      <x:c r="A157" s="48"/>
      <x:c r="B157" s="48"/>
      <x:c r="C157" s="48"/>
      <x:c r="D157" s="48"/>
      <x:c r="E157" s="48"/>
      <x:c r="F157" s="48"/>
      <x:c r="G157" s="48"/>
      <x:c r="H157" s="48"/>
      <x:c r="I157" s="48"/>
      <x:c r="J157" s="48"/>
      <x:c r="K157" s="48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8"/>
      <x:c r="X157" s="48"/>
      <x:c r="Y157" s="48"/>
      <x:c r="Z157" s="48"/>
    </x:row>
    <x:row r="158">
      <x:c r="A158" s="48"/>
      <x:c r="B158" s="48"/>
      <x:c r="C158" s="48"/>
      <x:c r="D158" s="48"/>
      <x:c r="E158" s="48"/>
      <x:c r="F158" s="48"/>
      <x:c r="G158" s="48"/>
      <x:c r="H158" s="48"/>
      <x:c r="I158" s="48"/>
      <x:c r="J158" s="48"/>
      <x:c r="K158" s="48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8"/>
      <x:c r="X158" s="48"/>
      <x:c r="Y158" s="48"/>
      <x:c r="Z158" s="48"/>
    </x:row>
    <x:row r="159">
      <x:c r="A159" s="48"/>
      <x:c r="B159" s="48"/>
      <x:c r="C159" s="48"/>
      <x:c r="D159" s="48"/>
      <x:c r="E159" s="48"/>
      <x:c r="F159" s="48"/>
      <x:c r="G159" s="48"/>
      <x:c r="H159" s="48"/>
      <x:c r="I159" s="48"/>
      <x:c r="J159" s="48"/>
      <x:c r="K159" s="48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8"/>
      <x:c r="X159" s="48"/>
      <x:c r="Y159" s="48"/>
      <x:c r="Z159" s="48"/>
    </x:row>
    <x:row r="160">
      <x:c r="A160" s="48"/>
      <x:c r="B160" s="48"/>
      <x:c r="C160" s="48"/>
      <x:c r="D160" s="48"/>
      <x:c r="E160" s="48"/>
      <x:c r="F160" s="48"/>
      <x:c r="G160" s="48"/>
      <x:c r="H160" s="48"/>
      <x:c r="I160" s="48"/>
      <x:c r="J160" s="48"/>
      <x:c r="K160" s="48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8"/>
      <x:c r="X160" s="48"/>
      <x:c r="Y160" s="48"/>
      <x:c r="Z160" s="48"/>
    </x:row>
    <x:row r="161">
      <x:c r="A161" s="48"/>
      <x:c r="B161" s="48"/>
      <x:c r="C161" s="48"/>
      <x:c r="D161" s="48"/>
      <x:c r="E161" s="48"/>
      <x:c r="F161" s="48"/>
      <x:c r="G161" s="48"/>
      <x:c r="H161" s="48"/>
      <x:c r="I161" s="48"/>
      <x:c r="J161" s="48"/>
      <x:c r="K161" s="48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8"/>
      <x:c r="X161" s="48"/>
      <x:c r="Y161" s="48"/>
      <x:c r="Z161" s="48"/>
    </x:row>
    <x:row r="162">
      <x:c r="A162" s="48"/>
      <x:c r="B162" s="48"/>
      <x:c r="C162" s="48"/>
      <x:c r="D162" s="48"/>
      <x:c r="E162" s="48"/>
      <x:c r="F162" s="48"/>
      <x:c r="G162" s="48"/>
      <x:c r="H162" s="48"/>
      <x:c r="I162" s="48"/>
      <x:c r="J162" s="48"/>
      <x:c r="K162" s="48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8"/>
      <x:c r="X162" s="48"/>
      <x:c r="Y162" s="48"/>
      <x:c r="Z162" s="48"/>
    </x:row>
    <x:row r="163">
      <x:c r="A163" s="48"/>
      <x:c r="B163" s="48"/>
      <x:c r="C163" s="48"/>
      <x:c r="D163" s="48"/>
      <x:c r="E163" s="48"/>
      <x:c r="F163" s="48"/>
      <x:c r="G163" s="48"/>
      <x:c r="H163" s="48"/>
      <x:c r="I163" s="48"/>
      <x:c r="J163" s="48"/>
      <x:c r="K163" s="48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8"/>
      <x:c r="X163" s="48"/>
      <x:c r="Y163" s="48"/>
      <x:c r="Z163" s="48"/>
    </x:row>
    <x:row r="164">
      <x:c r="A164" s="48"/>
      <x:c r="B164" s="48"/>
      <x:c r="C164" s="48"/>
      <x:c r="D164" s="48"/>
      <x:c r="E164" s="48"/>
      <x:c r="F164" s="48"/>
      <x:c r="G164" s="48"/>
      <x:c r="H164" s="48"/>
      <x:c r="I164" s="48"/>
      <x:c r="J164" s="48"/>
      <x:c r="K164" s="48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8"/>
      <x:c r="X164" s="48"/>
      <x:c r="Y164" s="48"/>
      <x:c r="Z164" s="48"/>
    </x:row>
    <x:row r="165">
      <x:c r="A165" s="48"/>
      <x:c r="B165" s="48"/>
      <x:c r="C165" s="48"/>
      <x:c r="D165" s="48"/>
      <x:c r="E165" s="48"/>
      <x:c r="F165" s="48"/>
      <x:c r="G165" s="48"/>
      <x:c r="H165" s="48"/>
      <x:c r="I165" s="48"/>
      <x:c r="J165" s="48"/>
      <x:c r="K165" s="48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8"/>
      <x:c r="X165" s="48"/>
      <x:c r="Y165" s="48"/>
      <x:c r="Z165" s="48"/>
    </x:row>
    <x:row r="166">
      <x:c r="A166" s="48"/>
      <x:c r="B166" s="48"/>
      <x:c r="C166" s="48"/>
      <x:c r="D166" s="48"/>
      <x:c r="E166" s="48"/>
      <x:c r="F166" s="48"/>
      <x:c r="G166" s="48"/>
      <x:c r="H166" s="48"/>
      <x:c r="I166" s="48"/>
      <x:c r="J166" s="48"/>
      <x:c r="K166" s="48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8"/>
      <x:c r="X166" s="48"/>
      <x:c r="Y166" s="48"/>
      <x:c r="Z166" s="48"/>
    </x:row>
    <x:row r="167">
      <x:c r="A167" s="48"/>
      <x:c r="B167" s="48"/>
      <x:c r="C167" s="48"/>
      <x:c r="D167" s="48"/>
      <x:c r="E167" s="48"/>
      <x:c r="F167" s="48"/>
      <x:c r="G167" s="48"/>
      <x:c r="H167" s="48"/>
      <x:c r="I167" s="48"/>
      <x:c r="J167" s="48"/>
      <x:c r="K167" s="48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8"/>
      <x:c r="X167" s="48"/>
      <x:c r="Y167" s="48"/>
      <x:c r="Z167" s="48"/>
    </x:row>
    <x:row r="168">
      <x:c r="A168" s="48"/>
      <x:c r="B168" s="48"/>
      <x:c r="C168" s="48"/>
      <x:c r="D168" s="48"/>
      <x:c r="E168" s="48"/>
      <x:c r="F168" s="48"/>
      <x:c r="G168" s="48"/>
      <x:c r="H168" s="48"/>
      <x:c r="I168" s="48"/>
      <x:c r="J168" s="48"/>
      <x:c r="K168" s="48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8"/>
      <x:c r="X168" s="48"/>
      <x:c r="Y168" s="48"/>
      <x:c r="Z168" s="48"/>
    </x:row>
    <x:row r="169">
      <x:c r="A169" s="48"/>
      <x:c r="B169" s="48"/>
      <x:c r="C169" s="48"/>
      <x:c r="D169" s="48"/>
      <x:c r="E169" s="48"/>
      <x:c r="F169" s="48"/>
      <x:c r="G169" s="48"/>
      <x:c r="H169" s="48"/>
      <x:c r="I169" s="48"/>
      <x:c r="J169" s="48"/>
      <x:c r="K169" s="48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8"/>
      <x:c r="X169" s="48"/>
      <x:c r="Y169" s="48"/>
      <x:c r="Z169" s="48"/>
    </x:row>
    <x:row r="170">
      <x:c r="A170" s="48"/>
      <x:c r="B170" s="48"/>
      <x:c r="C170" s="48"/>
      <x:c r="D170" s="48"/>
      <x:c r="E170" s="48"/>
      <x:c r="F170" s="48"/>
      <x:c r="G170" s="48"/>
      <x:c r="H170" s="48"/>
      <x:c r="I170" s="48"/>
      <x:c r="J170" s="48"/>
      <x:c r="K170" s="48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8"/>
      <x:c r="X170" s="48"/>
      <x:c r="Y170" s="48"/>
      <x:c r="Z170" s="48"/>
    </x:row>
    <x:row r="171">
      <x:c r="A171" s="48"/>
      <x:c r="B171" s="48"/>
      <x:c r="C171" s="48"/>
      <x:c r="D171" s="48"/>
      <x:c r="E171" s="48"/>
      <x:c r="F171" s="48"/>
      <x:c r="G171" s="48"/>
      <x:c r="H171" s="48"/>
      <x:c r="I171" s="48"/>
      <x:c r="J171" s="48"/>
      <x:c r="K171" s="48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8"/>
      <x:c r="X171" s="48"/>
      <x:c r="Y171" s="48"/>
      <x:c r="Z171" s="48"/>
    </x:row>
    <x:row r="172">
      <x:c r="A172" s="48"/>
      <x:c r="B172" s="48"/>
      <x:c r="C172" s="48"/>
      <x:c r="D172" s="48"/>
      <x:c r="E172" s="48"/>
      <x:c r="F172" s="48"/>
      <x:c r="G172" s="48"/>
      <x:c r="H172" s="48"/>
      <x:c r="I172" s="48"/>
      <x:c r="J172" s="48"/>
      <x:c r="K172" s="48"/>
      <x:c r="L172" s="48"/>
      <x:c r="M172" s="48"/>
      <x:c r="N172" s="48"/>
      <x:c r="O172" s="48"/>
      <x:c r="P172" s="48"/>
      <x:c r="Q172" s="48"/>
      <x:c r="R172" s="48"/>
      <x:c r="S172" s="48"/>
      <x:c r="T172" s="48"/>
      <x:c r="U172" s="48"/>
      <x:c r="V172" s="48"/>
      <x:c r="W172" s="48"/>
      <x:c r="X172" s="48"/>
      <x:c r="Y172" s="48"/>
      <x:c r="Z172" s="48"/>
    </x:row>
    <x:row r="173">
      <x:c r="A173" s="48"/>
      <x:c r="B173" s="48"/>
      <x:c r="C173" s="48"/>
      <x:c r="D173" s="48"/>
      <x:c r="E173" s="48"/>
      <x:c r="F173" s="48"/>
      <x:c r="G173" s="48"/>
      <x:c r="H173" s="48"/>
      <x:c r="I173" s="48"/>
      <x:c r="J173" s="48"/>
      <x:c r="K173" s="48"/>
      <x:c r="L173" s="48"/>
      <x:c r="M173" s="48"/>
      <x:c r="N173" s="48"/>
      <x:c r="O173" s="48"/>
      <x:c r="P173" s="48"/>
      <x:c r="Q173" s="48"/>
      <x:c r="R173" s="48"/>
      <x:c r="S173" s="48"/>
      <x:c r="T173" s="48"/>
      <x:c r="U173" s="48"/>
      <x:c r="V173" s="48"/>
      <x:c r="W173" s="48"/>
      <x:c r="X173" s="48"/>
      <x:c r="Y173" s="48"/>
      <x:c r="Z173" s="48"/>
    </x:row>
    <x:row r="174">
      <x:c r="A174" s="48"/>
      <x:c r="B174" s="48"/>
      <x:c r="C174" s="48"/>
      <x:c r="D174" s="48"/>
      <x:c r="E174" s="48"/>
      <x:c r="F174" s="48"/>
      <x:c r="G174" s="48"/>
      <x:c r="H174" s="48"/>
      <x:c r="I174" s="48"/>
      <x:c r="J174" s="48"/>
      <x:c r="K174" s="48"/>
      <x:c r="L174" s="48"/>
      <x:c r="M174" s="48"/>
      <x:c r="N174" s="48"/>
      <x:c r="O174" s="48"/>
      <x:c r="P174" s="48"/>
      <x:c r="Q174" s="48"/>
      <x:c r="R174" s="48"/>
      <x:c r="S174" s="48"/>
      <x:c r="T174" s="48"/>
      <x:c r="U174" s="48"/>
      <x:c r="V174" s="48"/>
      <x:c r="W174" s="48"/>
      <x:c r="X174" s="48"/>
      <x:c r="Y174" s="48"/>
      <x:c r="Z174" s="48"/>
    </x:row>
    <x:row r="175">
      <x:c r="A175" s="48"/>
      <x:c r="B175" s="48"/>
      <x:c r="C175" s="48"/>
      <x:c r="D175" s="48"/>
      <x:c r="E175" s="48"/>
      <x:c r="F175" s="48"/>
      <x:c r="G175" s="48"/>
      <x:c r="H175" s="48"/>
      <x:c r="I175" s="48"/>
      <x:c r="J175" s="48"/>
      <x:c r="K175" s="48"/>
      <x:c r="L175" s="48"/>
      <x:c r="M175" s="48"/>
      <x:c r="N175" s="48"/>
      <x:c r="O175" s="48"/>
      <x:c r="P175" s="48"/>
      <x:c r="Q175" s="48"/>
      <x:c r="R175" s="48"/>
      <x:c r="S175" s="48"/>
      <x:c r="T175" s="48"/>
      <x:c r="U175" s="48"/>
      <x:c r="V175" s="48"/>
      <x:c r="W175" s="48"/>
      <x:c r="X175" s="48"/>
      <x:c r="Y175" s="48"/>
      <x:c r="Z175" s="48"/>
    </x:row>
    <x:row r="176">
      <x:c r="A176" s="48"/>
      <x:c r="B176" s="48"/>
      <x:c r="C176" s="48"/>
      <x:c r="D176" s="48"/>
      <x:c r="E176" s="48"/>
      <x:c r="F176" s="48"/>
      <x:c r="G176" s="48"/>
      <x:c r="H176" s="48"/>
      <x:c r="I176" s="48"/>
      <x:c r="J176" s="48"/>
      <x:c r="K176" s="48"/>
      <x:c r="L176" s="48"/>
      <x:c r="M176" s="48"/>
      <x:c r="N176" s="48"/>
      <x:c r="O176" s="48"/>
      <x:c r="P176" s="48"/>
      <x:c r="Q176" s="48"/>
      <x:c r="R176" s="48"/>
      <x:c r="S176" s="48"/>
      <x:c r="T176" s="48"/>
      <x:c r="U176" s="48"/>
      <x:c r="V176" s="48"/>
      <x:c r="W176" s="48"/>
      <x:c r="X176" s="48"/>
      <x:c r="Y176" s="48"/>
      <x:c r="Z176" s="48"/>
    </x:row>
    <x:row r="177">
      <x:c r="A177" s="48"/>
      <x:c r="B177" s="48"/>
      <x:c r="C177" s="48"/>
      <x:c r="D177" s="48"/>
      <x:c r="E177" s="48"/>
      <x:c r="F177" s="48"/>
      <x:c r="G177" s="48"/>
      <x:c r="H177" s="48"/>
      <x:c r="I177" s="48"/>
      <x:c r="J177" s="48"/>
      <x:c r="K177" s="48"/>
      <x:c r="L177" s="48"/>
      <x:c r="M177" s="48"/>
      <x:c r="N177" s="48"/>
      <x:c r="O177" s="48"/>
      <x:c r="P177" s="48"/>
      <x:c r="Q177" s="48"/>
      <x:c r="R177" s="48"/>
      <x:c r="S177" s="48"/>
      <x:c r="T177" s="48"/>
      <x:c r="U177" s="48"/>
      <x:c r="V177" s="48"/>
      <x:c r="W177" s="48"/>
      <x:c r="X177" s="48"/>
      <x:c r="Y177" s="48"/>
      <x:c r="Z177" s="48"/>
    </x:row>
    <x:row r="178">
      <x:c r="A178" s="48"/>
      <x:c r="B178" s="48"/>
      <x:c r="C178" s="48"/>
      <x:c r="D178" s="48"/>
      <x:c r="E178" s="48"/>
      <x:c r="F178" s="48"/>
      <x:c r="G178" s="48"/>
      <x:c r="H178" s="48"/>
      <x:c r="I178" s="48"/>
      <x:c r="J178" s="48"/>
      <x:c r="K178" s="48"/>
      <x:c r="L178" s="48"/>
      <x:c r="M178" s="48"/>
      <x:c r="N178" s="48"/>
      <x:c r="O178" s="48"/>
      <x:c r="P178" s="48"/>
      <x:c r="Q178" s="48"/>
      <x:c r="R178" s="48"/>
      <x:c r="S178" s="48"/>
      <x:c r="T178" s="48"/>
      <x:c r="U178" s="48"/>
      <x:c r="V178" s="48"/>
      <x:c r="W178" s="48"/>
      <x:c r="X178" s="48"/>
      <x:c r="Y178" s="48"/>
      <x:c r="Z178" s="48"/>
    </x:row>
    <x:row r="179">
      <x:c r="A179" s="48"/>
      <x:c r="B179" s="48"/>
      <x:c r="C179" s="48"/>
      <x:c r="D179" s="48"/>
      <x:c r="E179" s="48"/>
      <x:c r="F179" s="48"/>
      <x:c r="G179" s="48"/>
      <x:c r="H179" s="48"/>
      <x:c r="I179" s="48"/>
      <x:c r="J179" s="48"/>
      <x:c r="K179" s="48"/>
      <x:c r="L179" s="48"/>
      <x:c r="M179" s="48"/>
      <x:c r="N179" s="48"/>
      <x:c r="O179" s="48"/>
      <x:c r="P179" s="48"/>
      <x:c r="Q179" s="48"/>
      <x:c r="R179" s="48"/>
      <x:c r="S179" s="48"/>
      <x:c r="T179" s="48"/>
      <x:c r="U179" s="48"/>
      <x:c r="V179" s="48"/>
      <x:c r="W179" s="48"/>
      <x:c r="X179" s="48"/>
      <x:c r="Y179" s="48"/>
      <x:c r="Z179" s="48"/>
    </x:row>
    <x:row r="180">
      <x:c r="A180" s="48"/>
      <x:c r="B180" s="48"/>
      <x:c r="C180" s="48"/>
      <x:c r="D180" s="48"/>
      <x:c r="E180" s="48"/>
      <x:c r="F180" s="48"/>
      <x:c r="G180" s="48"/>
      <x:c r="H180" s="48"/>
      <x:c r="I180" s="48"/>
      <x:c r="J180" s="48"/>
      <x:c r="K180" s="48"/>
      <x:c r="L180" s="48"/>
      <x:c r="M180" s="48"/>
      <x:c r="N180" s="48"/>
      <x:c r="O180" s="48"/>
      <x:c r="P180" s="48"/>
      <x:c r="Q180" s="48"/>
      <x:c r="R180" s="48"/>
      <x:c r="S180" s="48"/>
      <x:c r="T180" s="48"/>
      <x:c r="U180" s="48"/>
      <x:c r="V180" s="48"/>
      <x:c r="W180" s="48"/>
      <x:c r="X180" s="48"/>
      <x:c r="Y180" s="48"/>
      <x:c r="Z180" s="48"/>
    </x:row>
    <x:row r="181">
      <x:c r="A181" s="48"/>
      <x:c r="B181" s="48"/>
      <x:c r="C181" s="48"/>
      <x:c r="D181" s="48"/>
      <x:c r="E181" s="48"/>
      <x:c r="F181" s="48"/>
      <x:c r="G181" s="48"/>
      <x:c r="H181" s="48"/>
      <x:c r="I181" s="48"/>
      <x:c r="J181" s="48"/>
      <x:c r="K181" s="48"/>
      <x:c r="L181" s="48"/>
      <x:c r="M181" s="48"/>
      <x:c r="N181" s="48"/>
      <x:c r="O181" s="48"/>
      <x:c r="P181" s="48"/>
      <x:c r="Q181" s="48"/>
      <x:c r="R181" s="48"/>
      <x:c r="S181" s="48"/>
      <x:c r="T181" s="48"/>
      <x:c r="U181" s="48"/>
      <x:c r="V181" s="48"/>
      <x:c r="W181" s="48"/>
      <x:c r="X181" s="48"/>
      <x:c r="Y181" s="48"/>
      <x:c r="Z181" s="48"/>
    </x:row>
    <x:row r="182">
      <x:c r="A182" s="48"/>
      <x:c r="B182" s="48"/>
      <x:c r="C182" s="48"/>
      <x:c r="D182" s="48"/>
      <x:c r="E182" s="48"/>
      <x:c r="F182" s="48"/>
      <x:c r="G182" s="48"/>
      <x:c r="H182" s="48"/>
      <x:c r="I182" s="48"/>
      <x:c r="J182" s="48"/>
      <x:c r="K182" s="48"/>
      <x:c r="L182" s="48"/>
      <x:c r="M182" s="48"/>
      <x:c r="N182" s="48"/>
      <x:c r="O182" s="48"/>
      <x:c r="P182" s="48"/>
      <x:c r="Q182" s="48"/>
      <x:c r="R182" s="48"/>
      <x:c r="S182" s="48"/>
      <x:c r="T182" s="48"/>
      <x:c r="U182" s="48"/>
      <x:c r="V182" s="48"/>
      <x:c r="W182" s="48"/>
      <x:c r="X182" s="48"/>
      <x:c r="Y182" s="48"/>
      <x:c r="Z182" s="48"/>
    </x:row>
    <x:row r="183">
      <x:c r="A183" s="48"/>
      <x:c r="B183" s="48"/>
      <x:c r="C183" s="48"/>
      <x:c r="D183" s="48"/>
      <x:c r="E183" s="48"/>
      <x:c r="F183" s="48"/>
      <x:c r="G183" s="48"/>
      <x:c r="H183" s="48"/>
      <x:c r="I183" s="48"/>
      <x:c r="J183" s="48"/>
      <x:c r="K183" s="48"/>
      <x:c r="L183" s="48"/>
      <x:c r="M183" s="48"/>
      <x:c r="N183" s="48"/>
      <x:c r="O183" s="48"/>
      <x:c r="P183" s="48"/>
      <x:c r="Q183" s="48"/>
      <x:c r="R183" s="48"/>
      <x:c r="S183" s="48"/>
      <x:c r="T183" s="48"/>
      <x:c r="U183" s="48"/>
      <x:c r="V183" s="48"/>
      <x:c r="W183" s="48"/>
      <x:c r="X183" s="48"/>
      <x:c r="Y183" s="48"/>
      <x:c r="Z183" s="48"/>
    </x:row>
    <x:row r="184">
      <x:c r="A184" s="48"/>
      <x:c r="B184" s="48"/>
      <x:c r="C184" s="48"/>
      <x:c r="D184" s="48"/>
      <x:c r="E184" s="48"/>
      <x:c r="F184" s="48"/>
      <x:c r="G184" s="48"/>
      <x:c r="H184" s="48"/>
      <x:c r="I184" s="48"/>
      <x:c r="J184" s="48"/>
      <x:c r="K184" s="48"/>
      <x:c r="L184" s="48"/>
      <x:c r="M184" s="48"/>
      <x:c r="N184" s="48"/>
      <x:c r="O184" s="48"/>
      <x:c r="P184" s="48"/>
      <x:c r="Q184" s="48"/>
      <x:c r="R184" s="48"/>
      <x:c r="S184" s="48"/>
      <x:c r="T184" s="48"/>
      <x:c r="U184" s="48"/>
      <x:c r="V184" s="48"/>
      <x:c r="W184" s="48"/>
      <x:c r="X184" s="48"/>
      <x:c r="Y184" s="48"/>
      <x:c r="Z184" s="48"/>
    </x:row>
    <x:row r="185">
      <x:c r="A185" s="48"/>
      <x:c r="B185" s="48"/>
      <x:c r="C185" s="48"/>
      <x:c r="D185" s="48"/>
      <x:c r="E185" s="48"/>
      <x:c r="F185" s="48"/>
      <x:c r="G185" s="48"/>
      <x:c r="H185" s="48"/>
      <x:c r="I185" s="48"/>
      <x:c r="J185" s="48"/>
      <x:c r="K185" s="48"/>
      <x:c r="L185" s="48"/>
      <x:c r="M185" s="48"/>
      <x:c r="N185" s="48"/>
      <x:c r="O185" s="48"/>
      <x:c r="P185" s="48"/>
      <x:c r="Q185" s="48"/>
      <x:c r="R185" s="48"/>
      <x:c r="S185" s="48"/>
      <x:c r="T185" s="48"/>
      <x:c r="U185" s="48"/>
      <x:c r="V185" s="48"/>
      <x:c r="W185" s="48"/>
      <x:c r="X185" s="48"/>
      <x:c r="Y185" s="48"/>
      <x:c r="Z185" s="48"/>
    </x:row>
    <x:row r="186">
      <x:c r="A186" s="48"/>
      <x:c r="B186" s="48"/>
      <x:c r="C186" s="48"/>
      <x:c r="D186" s="48"/>
      <x:c r="E186" s="48"/>
      <x:c r="F186" s="48"/>
      <x:c r="G186" s="48"/>
      <x:c r="H186" s="48"/>
      <x:c r="I186" s="48"/>
      <x:c r="J186" s="48"/>
      <x:c r="K186" s="48"/>
      <x:c r="L186" s="48"/>
      <x:c r="M186" s="48"/>
      <x:c r="N186" s="48"/>
      <x:c r="O186" s="48"/>
      <x:c r="P186" s="48"/>
      <x:c r="Q186" s="48"/>
      <x:c r="R186" s="48"/>
      <x:c r="S186" s="48"/>
      <x:c r="T186" s="48"/>
      <x:c r="U186" s="48"/>
      <x:c r="V186" s="48"/>
      <x:c r="W186" s="48"/>
      <x:c r="X186" s="48"/>
      <x:c r="Y186" s="48"/>
      <x:c r="Z186" s="48"/>
    </x:row>
    <x:row r="187">
      <x:c r="A187" s="48"/>
      <x:c r="B187" s="48"/>
      <x:c r="C187" s="48"/>
      <x:c r="D187" s="48"/>
      <x:c r="E187" s="48"/>
      <x:c r="F187" s="48"/>
      <x:c r="G187" s="48"/>
      <x:c r="H187" s="48"/>
      <x:c r="I187" s="48"/>
      <x:c r="J187" s="48"/>
      <x:c r="K187" s="48"/>
      <x:c r="L187" s="48"/>
      <x:c r="M187" s="48"/>
      <x:c r="N187" s="48"/>
      <x:c r="O187" s="48"/>
      <x:c r="P187" s="48"/>
      <x:c r="Q187" s="48"/>
      <x:c r="R187" s="48"/>
      <x:c r="S187" s="48"/>
      <x:c r="T187" s="48"/>
      <x:c r="U187" s="48"/>
      <x:c r="V187" s="48"/>
      <x:c r="W187" s="48"/>
      <x:c r="X187" s="48"/>
      <x:c r="Y187" s="48"/>
      <x:c r="Z187" s="48"/>
    </x:row>
    <x:row r="188">
      <x:c r="A188" s="48"/>
      <x:c r="B188" s="48"/>
      <x:c r="C188" s="48"/>
      <x:c r="D188" s="48"/>
      <x:c r="E188" s="48"/>
      <x:c r="F188" s="48"/>
      <x:c r="G188" s="48"/>
      <x:c r="H188" s="48"/>
      <x:c r="I188" s="48"/>
      <x:c r="J188" s="48"/>
      <x:c r="K188" s="48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  <x:c r="W188" s="48"/>
      <x:c r="X188" s="48"/>
      <x:c r="Y188" s="48"/>
      <x:c r="Z188" s="48"/>
    </x:row>
    <x:row r="189">
      <x:c r="A189" s="48"/>
      <x:c r="B189" s="48"/>
      <x:c r="C189" s="48"/>
      <x:c r="D189" s="48"/>
      <x:c r="E189" s="48"/>
      <x:c r="F189" s="48"/>
      <x:c r="G189" s="48"/>
      <x:c r="H189" s="48"/>
      <x:c r="I189" s="48"/>
      <x:c r="J189" s="48"/>
      <x:c r="K189" s="48"/>
      <x:c r="L189" s="48"/>
      <x:c r="M189" s="48"/>
      <x:c r="N189" s="48"/>
      <x:c r="O189" s="48"/>
      <x:c r="P189" s="48"/>
      <x:c r="Q189" s="48"/>
      <x:c r="R189" s="48"/>
      <x:c r="S189" s="48"/>
      <x:c r="T189" s="48"/>
      <x:c r="U189" s="48"/>
      <x:c r="V189" s="48"/>
      <x:c r="W189" s="48"/>
      <x:c r="X189" s="48"/>
      <x:c r="Y189" s="48"/>
      <x:c r="Z189" s="48"/>
    </x:row>
    <x:row r="190">
      <x:c r="A190" s="48"/>
      <x:c r="B190" s="48"/>
      <x:c r="C190" s="48"/>
      <x:c r="D190" s="48"/>
      <x:c r="E190" s="48"/>
      <x:c r="F190" s="48"/>
      <x:c r="G190" s="48"/>
      <x:c r="H190" s="48"/>
      <x:c r="I190" s="48"/>
      <x:c r="J190" s="48"/>
      <x:c r="K190" s="48"/>
      <x:c r="L190" s="48"/>
      <x:c r="M190" s="48"/>
      <x:c r="N190" s="48"/>
      <x:c r="O190" s="48"/>
      <x:c r="P190" s="48"/>
      <x:c r="Q190" s="48"/>
      <x:c r="R190" s="48"/>
      <x:c r="S190" s="48"/>
      <x:c r="T190" s="48"/>
      <x:c r="U190" s="48"/>
      <x:c r="V190" s="48"/>
      <x:c r="W190" s="48"/>
      <x:c r="X190" s="48"/>
      <x:c r="Y190" s="48"/>
      <x:c r="Z190" s="48"/>
    </x:row>
    <x:row r="191">
      <x:c r="A191" s="48"/>
      <x:c r="B191" s="48"/>
      <x:c r="C191" s="48"/>
      <x:c r="D191" s="48"/>
      <x:c r="E191" s="48"/>
      <x:c r="F191" s="48"/>
      <x:c r="G191" s="48"/>
      <x:c r="H191" s="48"/>
      <x:c r="I191" s="48"/>
      <x:c r="J191" s="48"/>
      <x:c r="K191" s="48"/>
      <x:c r="L191" s="48"/>
      <x:c r="M191" s="48"/>
      <x:c r="N191" s="48"/>
      <x:c r="O191" s="48"/>
      <x:c r="P191" s="48"/>
      <x:c r="Q191" s="48"/>
      <x:c r="R191" s="48"/>
      <x:c r="S191" s="48"/>
      <x:c r="T191" s="48"/>
      <x:c r="U191" s="48"/>
      <x:c r="V191" s="48"/>
      <x:c r="W191" s="48"/>
      <x:c r="X191" s="48"/>
      <x:c r="Y191" s="48"/>
      <x:c r="Z191" s="48"/>
    </x:row>
    <x:row r="192">
      <x:c r="A192" s="48"/>
      <x:c r="B192" s="48"/>
      <x:c r="C192" s="48"/>
      <x:c r="D192" s="48"/>
      <x:c r="E192" s="48"/>
      <x:c r="F192" s="48"/>
      <x:c r="G192" s="48"/>
      <x:c r="H192" s="48"/>
      <x:c r="I192" s="48"/>
      <x:c r="J192" s="48"/>
      <x:c r="K192" s="48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  <x:c r="W192" s="48"/>
      <x:c r="X192" s="48"/>
      <x:c r="Y192" s="48"/>
      <x:c r="Z192" s="48"/>
    </x:row>
    <x:row r="193">
      <x:c r="A193" s="48"/>
      <x:c r="B193" s="48"/>
      <x:c r="C193" s="48"/>
      <x:c r="D193" s="48"/>
      <x:c r="E193" s="48"/>
      <x:c r="F193" s="48"/>
      <x:c r="G193" s="48"/>
      <x:c r="H193" s="48"/>
      <x:c r="I193" s="48"/>
      <x:c r="J193" s="48"/>
      <x:c r="K193" s="48"/>
      <x:c r="L193" s="48"/>
      <x:c r="M193" s="48"/>
      <x:c r="N193" s="48"/>
      <x:c r="O193" s="48"/>
      <x:c r="P193" s="48"/>
      <x:c r="Q193" s="48"/>
      <x:c r="R193" s="48"/>
      <x:c r="S193" s="48"/>
      <x:c r="T193" s="48"/>
      <x:c r="U193" s="48"/>
      <x:c r="V193" s="48"/>
      <x:c r="W193" s="48"/>
      <x:c r="X193" s="48"/>
      <x:c r="Y193" s="48"/>
      <x:c r="Z193" s="48"/>
    </x:row>
    <x:row r="194">
      <x:c r="A194" s="48"/>
      <x:c r="B194" s="48"/>
      <x:c r="C194" s="48"/>
      <x:c r="D194" s="48"/>
      <x:c r="E194" s="48"/>
      <x:c r="F194" s="48"/>
      <x:c r="G194" s="48"/>
      <x:c r="H194" s="48"/>
      <x:c r="I194" s="48"/>
      <x:c r="J194" s="48"/>
      <x:c r="K194" s="48"/>
      <x:c r="L194" s="48"/>
      <x:c r="M194" s="48"/>
      <x:c r="N194" s="48"/>
      <x:c r="O194" s="48"/>
      <x:c r="P194" s="48"/>
      <x:c r="Q194" s="48"/>
      <x:c r="R194" s="48"/>
      <x:c r="S194" s="48"/>
      <x:c r="T194" s="48"/>
      <x:c r="U194" s="48"/>
      <x:c r="V194" s="48"/>
      <x:c r="W194" s="48"/>
      <x:c r="X194" s="48"/>
      <x:c r="Y194" s="48"/>
      <x:c r="Z194" s="48"/>
    </x:row>
    <x:row r="195">
      <x:c r="A195" s="48"/>
      <x:c r="B195" s="48"/>
      <x:c r="C195" s="48"/>
      <x:c r="D195" s="48"/>
      <x:c r="E195" s="48"/>
      <x:c r="F195" s="48"/>
      <x:c r="G195" s="48"/>
      <x:c r="H195" s="48"/>
      <x:c r="I195" s="48"/>
      <x:c r="J195" s="48"/>
      <x:c r="K195" s="48"/>
      <x:c r="L195" s="48"/>
      <x:c r="M195" s="48"/>
      <x:c r="N195" s="48"/>
      <x:c r="O195" s="48"/>
      <x:c r="P195" s="48"/>
      <x:c r="Q195" s="48"/>
      <x:c r="R195" s="48"/>
      <x:c r="S195" s="48"/>
      <x:c r="T195" s="48"/>
      <x:c r="U195" s="48"/>
      <x:c r="V195" s="48"/>
      <x:c r="W195" s="48"/>
      <x:c r="X195" s="48"/>
      <x:c r="Y195" s="48"/>
      <x:c r="Z195" s="48"/>
    </x:row>
    <x:row r="196">
      <x:c r="A196" s="48"/>
      <x:c r="B196" s="48"/>
      <x:c r="C196" s="48"/>
      <x:c r="D196" s="48"/>
      <x:c r="E196" s="48"/>
      <x:c r="F196" s="48"/>
      <x:c r="G196" s="48"/>
      <x:c r="H196" s="48"/>
      <x:c r="I196" s="48"/>
      <x:c r="J196" s="48"/>
      <x:c r="K196" s="48"/>
      <x:c r="L196" s="48"/>
      <x:c r="M196" s="48"/>
      <x:c r="N196" s="48"/>
      <x:c r="O196" s="48"/>
      <x:c r="P196" s="48"/>
      <x:c r="Q196" s="48"/>
      <x:c r="R196" s="48"/>
      <x:c r="S196" s="48"/>
      <x:c r="T196" s="48"/>
      <x:c r="U196" s="48"/>
      <x:c r="V196" s="48"/>
      <x:c r="W196" s="48"/>
      <x:c r="X196" s="48"/>
      <x:c r="Y196" s="48"/>
      <x:c r="Z196" s="48"/>
    </x:row>
    <x:row r="197">
      <x:c r="A197" s="48"/>
      <x:c r="B197" s="48"/>
      <x:c r="C197" s="48"/>
      <x:c r="D197" s="48"/>
      <x:c r="E197" s="48"/>
      <x:c r="F197" s="48"/>
      <x:c r="G197" s="48"/>
      <x:c r="H197" s="48"/>
      <x:c r="I197" s="48"/>
      <x:c r="J197" s="48"/>
      <x:c r="K197" s="48"/>
      <x:c r="L197" s="48"/>
      <x:c r="M197" s="48"/>
      <x:c r="N197" s="48"/>
      <x:c r="O197" s="48"/>
      <x:c r="P197" s="48"/>
      <x:c r="Q197" s="48"/>
      <x:c r="R197" s="48"/>
      <x:c r="S197" s="48"/>
      <x:c r="T197" s="48"/>
      <x:c r="U197" s="48"/>
      <x:c r="V197" s="48"/>
      <x:c r="W197" s="48"/>
      <x:c r="X197" s="48"/>
      <x:c r="Y197" s="48"/>
      <x:c r="Z197" s="48"/>
    </x:row>
    <x:row r="198">
      <x:c r="A198" s="48"/>
      <x:c r="B198" s="48"/>
      <x:c r="C198" s="48"/>
      <x:c r="D198" s="48"/>
      <x:c r="E198" s="48"/>
      <x:c r="F198" s="48"/>
      <x:c r="G198" s="48"/>
      <x:c r="H198" s="48"/>
      <x:c r="I198" s="48"/>
      <x:c r="J198" s="48"/>
      <x:c r="K198" s="48"/>
      <x:c r="L198" s="48"/>
      <x:c r="M198" s="48"/>
      <x:c r="N198" s="48"/>
      <x:c r="O198" s="48"/>
      <x:c r="P198" s="48"/>
      <x:c r="Q198" s="48"/>
      <x:c r="R198" s="48"/>
      <x:c r="S198" s="48"/>
      <x:c r="T198" s="48"/>
      <x:c r="U198" s="48"/>
      <x:c r="V198" s="48"/>
      <x:c r="W198" s="48"/>
      <x:c r="X198" s="48"/>
      <x:c r="Y198" s="48"/>
      <x:c r="Z198" s="48"/>
    </x:row>
    <x:row r="199">
      <x:c r="A199" s="48"/>
      <x:c r="B199" s="48"/>
      <x:c r="C199" s="48"/>
      <x:c r="D199" s="48"/>
      <x:c r="E199" s="48"/>
      <x:c r="F199" s="48"/>
      <x:c r="G199" s="48"/>
      <x:c r="H199" s="48"/>
      <x:c r="I199" s="48"/>
      <x:c r="J199" s="48"/>
      <x:c r="K199" s="48"/>
      <x:c r="L199" s="48"/>
      <x:c r="M199" s="48"/>
      <x:c r="N199" s="48"/>
      <x:c r="O199" s="48"/>
      <x:c r="P199" s="48"/>
      <x:c r="Q199" s="48"/>
      <x:c r="R199" s="48"/>
      <x:c r="S199" s="48"/>
      <x:c r="T199" s="48"/>
      <x:c r="U199" s="48"/>
      <x:c r="V199" s="48"/>
      <x:c r="W199" s="48"/>
      <x:c r="X199" s="48"/>
      <x:c r="Y199" s="48"/>
      <x:c r="Z199" s="48"/>
    </x:row>
    <x:row r="200">
      <x:c r="A200" s="48"/>
      <x:c r="B200" s="48"/>
      <x:c r="C200" s="48"/>
      <x:c r="D200" s="48"/>
      <x:c r="E200" s="48"/>
      <x:c r="F200" s="48"/>
      <x:c r="G200" s="48"/>
      <x:c r="H200" s="48"/>
      <x:c r="I200" s="48"/>
      <x:c r="J200" s="48"/>
      <x:c r="K200" s="48"/>
      <x:c r="L200" s="48"/>
      <x:c r="M200" s="48"/>
      <x:c r="N200" s="48"/>
      <x:c r="O200" s="48"/>
      <x:c r="P200" s="48"/>
      <x:c r="Q200" s="48"/>
      <x:c r="R200" s="48"/>
      <x:c r="S200" s="48"/>
      <x:c r="T200" s="48"/>
      <x:c r="U200" s="48"/>
      <x:c r="V200" s="48"/>
      <x:c r="W200" s="48"/>
      <x:c r="X200" s="48"/>
      <x:c r="Y200" s="48"/>
      <x:c r="Z200" s="4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4" hidden="0" customWidth="1"/>
    <x:col min="4" max="4" width="14" hidden="0" customWidth="1"/>
    <x:col min="5" max="5" width="14" hidden="0" customWidth="1"/>
    <x:col min="6" max="6" width="22" hidden="0" customWidth="1"/>
    <x:col min="7" max="7" width="18" hidden="0" customWidth="1"/>
    <x:col min="8" max="8" width="18" hidden="0" customWidth="1"/>
    <x:col min="9" max="9" width="48" hidden="0" customWidth="1"/>
    <x:col min="10" max="10" width="56" hidden="0" customWidth="1"/>
    <x:col min="11" max="11" width="14" hidden="0" customWidth="1"/>
    <x:col min="12" max="12" width="34" hidden="0" customWidth="1"/>
  </x:cols>
  <x:sheetData>
    <x:row r="1">
      <x:c r="A1" s="8" t="str">
        <x:v>test_id</x:v>
      </x:c>
      <x:c r="B1" s="8" t="str">
        <x:v>runner_type</x:v>
      </x:c>
      <x:c r="C1" s="8" t="str">
        <x:v>experience</x:v>
      </x:c>
      <x:c r="D1" s="8" t="str">
        <x:v>runs_per_week</x:v>
      </x:c>
      <x:c r="E1" s="8" t="str">
        <x:v>weekly_distance</x:v>
      </x:c>
      <x:c r="F1" s="8" t="str">
        <x:v>current_shoe</x:v>
      </x:c>
      <x:c r="G1" s="8" t="str">
        <x:v>gear_need</x:v>
      </x:c>
      <x:c r="H1" s="8" t="str">
        <x:v>priority</x:v>
      </x:c>
      <x:c r="I1" s="8" t="str">
        <x:v>expected_directions</x:v>
      </x:c>
      <x:c r="J1" s="8" t="str">
        <x:v>expected_behavior</x:v>
      </x:c>
      <x:c r="K1" s="8" t="str">
        <x:v>test_status</x:v>
      </x:c>
      <x:c r="L1" s="8" t="str">
        <x:v>notes</x:v>
      </x:c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48" t="str">
        <x:v>QA-01</x:v>
      </x:c>
      <x:c r="B2" s="48" t="str">
        <x:v>ROUTINE</x:v>
      </x:c>
      <x:c r="C2" s="48" t="str">
        <x:v>6m~1y</x:v>
      </x:c>
      <x:c r="D2" s="48" t="str">
        <x:v>1~2</x:v>
      </x:c>
      <x:c r="E2" s="48" t="str">
        <x:v>5~15km</x:v>
      </x:c>
      <x:c r="F2" s="48" t="str">
        <x:v>Daily Trainer</x:v>
      </x:c>
      <x:c r="G2" s="48" t="str">
        <x:v>COMFORT</x:v>
      </x:c>
      <x:c r="H2" s="48" t="str">
        <x:v>COMFORT</x:v>
      </x:c>
      <x:c r="I2" s="48" t="str">
        <x:v>DAILY_COMFORT | BALANCED_ALLROUND | LONG_DISTANCE</x:v>
      </x:c>
      <x:c r="J2" s="48" t="str">
        <x:v>RACE_FOCUS가 주 Direction으로 나오지 않음; 편안함/데일리 중심</x:v>
      </x:c>
      <x:c r="K2" s="48" t="str">
        <x:v>NOT_RUN</x:v>
      </x:c>
      <x:c r="L2" s="48" t="str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48" t="str">
        <x:v>QA-02</x:v>
      </x:c>
      <x:c r="B3" s="48" t="str">
        <x:v>PACE</x:v>
      </x:c>
      <x:c r="C3" s="48" t="str">
        <x:v>1~3y</x:v>
      </x:c>
      <x:c r="D3" s="48" t="str">
        <x:v>3~4</x:v>
      </x:c>
      <x:c r="E3" s="48" t="str">
        <x:v>15~30km</x:v>
      </x:c>
      <x:c r="F3" s="48" t="str">
        <x:v>Daily Trainer</x:v>
      </x:c>
      <x:c r="G3" s="48" t="str">
        <x:v>SPEED</x:v>
      </x:c>
      <x:c r="H3" s="48" t="str">
        <x:v>RESPONSIVENESS</x:v>
      </x:c>
      <x:c r="I3" s="48" t="str">
        <x:v>PERFORMANCE_STEPUP | SPEED_TRAINING | BALANCED_ALLROUND</x:v>
      </x:c>
      <x:c r="J3" s="48" t="str">
        <x:v>빠른 훈련과 현재 신발 대비 반응성 변화가 설명됨</x:v>
      </x:c>
      <x:c r="K3" s="48" t="str">
        <x:v>NOT_RUN</x:v>
      </x:c>
      <x:c r="L3" s="48" t="str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>
      <x:c r="A4" s="48" t="str">
        <x:v>QA-03</x:v>
      </x:c>
      <x:c r="B4" s="48" t="str">
        <x:v>DISTANCE</x:v>
      </x:c>
      <x:c r="C4" s="48" t="str">
        <x:v>1~3y</x:v>
      </x:c>
      <x:c r="D4" s="48" t="str">
        <x:v>3~4</x:v>
      </x:c>
      <x:c r="E4" s="48" t="str">
        <x:v>30km+</x:v>
      </x:c>
      <x:c r="F4" s="48" t="str">
        <x:v>Daily Trainer</x:v>
      </x:c>
      <x:c r="G4" s="48" t="str">
        <x:v>DISTANCE</x:v>
      </x:c>
      <x:c r="H4" s="48" t="str">
        <x:v>COMFORT</x:v>
      </x:c>
      <x:c r="I4" s="48" t="str">
        <x:v>LONG_DISTANCE | DAILY_COMFORT | BALANCED_ALLROUND</x:v>
      </x:c>
      <x:c r="J4" s="48" t="str">
        <x:v>Long Run / Comfort 높은 후보 중심</x:v>
      </x:c>
      <x:c r="K4" s="48" t="str">
        <x:v>NOT_RUN</x:v>
      </x:c>
      <x:c r="L4" s="48" t="str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>
      <x:c r="A5" s="48" t="str">
        <x:v>QA-04</x:v>
      </x:c>
      <x:c r="B5" s="48" t="str">
        <x:v>RACE</x:v>
      </x:c>
      <x:c r="C5" s="48" t="str">
        <x:v>1~3y</x:v>
      </x:c>
      <x:c r="D5" s="48" t="str">
        <x:v>3~4</x:v>
      </x:c>
      <x:c r="E5" s="48" t="str">
        <x:v>15~30km</x:v>
      </x:c>
      <x:c r="F5" s="48" t="str">
        <x:v>Performance Trainer</x:v>
      </x:c>
      <x:c r="G5" s="48" t="str">
        <x:v>RACE</x:v>
      </x:c>
      <x:c r="H5" s="48" t="str">
        <x:v>PERFORMANCE</x:v>
      </x:c>
      <x:c r="I5" s="48" t="str">
        <x:v>RACE_FOCUS | SPEED_TRAINING | PERFORMANCE_STEPUP</x:v>
      </x:c>
      <x:c r="J5" s="48" t="str">
        <x:v>Race 후보 등장, 하나의 정답처럼 표현하지 않음</x:v>
      </x:c>
      <x:c r="K5" s="48" t="str">
        <x:v>NOT_RUN</x:v>
      </x:c>
      <x:c r="L5" s="48" t="str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>
      <x:c r="A6" s="48" t="str">
        <x:v>QA-05</x:v>
      </x:c>
      <x:c r="B6" s="48" t="str">
        <x:v>ALL_AROUND</x:v>
      </x:c>
      <x:c r="C6" s="48" t="str">
        <x:v>6m~1y</x:v>
      </x:c>
      <x:c r="D6" s="48" t="str">
        <x:v>1~2</x:v>
      </x:c>
      <x:c r="E6" s="48" t="str">
        <x:v>5~15km</x:v>
      </x:c>
      <x:c r="F6" s="48" t="str">
        <x:v>Unknown</x:v>
      </x:c>
      <x:c r="G6" s="48" t="str">
        <x:v>UNSURE</x:v>
      </x:c>
      <x:c r="H6" s="48" t="str">
        <x:v>VERSATILITY</x:v>
      </x:c>
      <x:c r="I6" s="48" t="str">
        <x:v>BALANCED_ALLROUND | DAILY_COMFORT | CONTEXT_DYNAMIC</x:v>
      </x:c>
      <x:c r="J6" s="48" t="str">
        <x:v>UNSURE에서는 범용/데일리 2축을 먼저 보여주고 3번째는 Current Shoe와 가장 다른 비-RACE Direction</x:v>
      </x:c>
      <x:c r="K6" s="48" t="str">
        <x:v>NOT_RUN</x:v>
      </x:c>
      <x:c r="L6" s="48" t="str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>
      <x:c r="A7" s="48" t="str">
        <x:v>QA-06</x:v>
      </x:c>
      <x:c r="B7" s="48" t="str">
        <x:v>EXPLORE</x:v>
      </x:c>
      <x:c r="C7" s="48" t="str">
        <x:v>&lt;6m</x:v>
      </x:c>
      <x:c r="D7" s="48" t="str">
        <x:v>1~2</x:v>
      </x:c>
      <x:c r="E7" s="48" t="str">
        <x:v>5~15km</x:v>
      </x:c>
      <x:c r="F7" s="48" t="str">
        <x:v>UNKNOWN</x:v>
      </x:c>
      <x:c r="G7" s="48" t="str">
        <x:v>COMFORT</x:v>
      </x:c>
      <x:c r="H7" s="48" t="str">
        <x:v>COMFORT</x:v>
      </x:c>
      <x:c r="I7" s="48" t="str">
        <x:v>DAILY_COMFORT | BALANCED_ALLROUND | LONG_DISTANCE</x:v>
      </x:c>
      <x:c r="J7" s="48" t="str">
        <x:v>추천 정상 생성; VS YOUR SHOE 생략</x:v>
      </x:c>
      <x:c r="K7" s="48" t="str">
        <x:v>NOT_RUN</x:v>
      </x:c>
      <x:c r="L7" s="48" t="str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>
      <x:c r="A8" s="48" t="str">
        <x:v>QA-07</x:v>
      </x:c>
      <x:c r="B8" s="48" t="str">
        <x:v>PACE</x:v>
      </x:c>
      <x:c r="C8" s="48" t="str">
        <x:v>1~3y</x:v>
      </x:c>
      <x:c r="D8" s="48" t="str">
        <x:v>3~4</x:v>
      </x:c>
      <x:c r="E8" s="48" t="str">
        <x:v>15~30km</x:v>
      </x:c>
      <x:c r="F8" s="48" t="str">
        <x:v>Fast Trainer</x:v>
      </x:c>
      <x:c r="G8" s="48" t="str">
        <x:v>COMFORT</x:v>
      </x:c>
      <x:c r="H8" s="48" t="str">
        <x:v>COMFORT</x:v>
      </x:c>
      <x:c r="I8" s="48" t="str">
        <x:v>DAILY_COMFORT | BALANCED_ALLROUND | LONG_DISTANCE</x:v>
      </x:c>
      <x:c r="J8" s="48" t="str">
        <x:v>더 빠른 후보만 반복 추천하지 않고 편안함 방향으로 이동</x:v>
      </x:c>
      <x:c r="K8" s="48" t="str">
        <x:v>NOT_RUN</x:v>
      </x:c>
      <x:c r="L8" s="48" t="str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>
      <x:c r="A9" s="48" t="str">
        <x:v>QA-08</x:v>
      </x:c>
      <x:c r="B9" s="48" t="str">
        <x:v>EXPLORE</x:v>
      </x:c>
      <x:c r="C9" s="48" t="str">
        <x:v>UNKNOWN</x:v>
      </x:c>
      <x:c r="D9" s="48" t="str">
        <x:v>UNKNOWN</x:v>
      </x:c>
      <x:c r="E9" s="48" t="str">
        <x:v>UNKNOWN</x:v>
      </x:c>
      <x:c r="F9" s="48" t="str">
        <x:v>UNKNOWN</x:v>
      </x:c>
      <x:c r="G9" s="48" t="str">
        <x:v>UNSURE</x:v>
      </x:c>
      <x:c r="H9" s="48" t="str">
        <x:v>VERSATILITY</x:v>
      </x:c>
      <x:c r="I9" s="48" t="str">
        <x:v>BALANCED_ALLROUND | DAILY_COMFORT | CONTEXT_DYNAMIC</x:v>
      </x:c>
      <x:c r="J9" s="48" t="str">
        <x:v>Current Shoe가 없으면 없는 정보를 추정하지 않고 필요한 경우 Follow-up 후 3번째 Direction 결정</x:v>
      </x:c>
      <x:c r="K9" s="48" t="str">
        <x:v>NOT_RUN</x:v>
      </x:c>
      <x:c r="L9" s="48" t="str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>
      <x:c r="A10" s="48"/>
      <x:c r="B10" s="48"/>
      <x:c r="C10" s="48"/>
      <x:c r="D10" s="48"/>
      <x:c r="E10" s="48"/>
      <x:c r="F10" s="48"/>
      <x:c r="G10" s="48"/>
      <x:c r="H10" s="48"/>
      <x:c r="I10" s="48"/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>
      <x:c r="A11" s="48"/>
      <x:c r="B11" s="48"/>
      <x:c r="C11" s="48"/>
      <x:c r="D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>
      <x:c r="A12" s="48"/>
      <x:c r="B12" s="48"/>
      <x:c r="C12" s="48"/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>
      <x:c r="A13" s="48"/>
      <x:c r="B13" s="48"/>
      <x:c r="C13" s="48"/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>
      <x:c r="A14" s="48"/>
      <x:c r="B14" s="48"/>
      <x:c r="C14" s="48"/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48"/>
      <x:c r="B15" s="48"/>
      <x:c r="C15" s="48"/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48"/>
      <x:c r="B16" s="48"/>
      <x:c r="C16" s="48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48"/>
      <x:c r="B17" s="48"/>
      <x:c r="C17" s="48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48"/>
      <x:c r="B18" s="48"/>
      <x:c r="C18" s="48"/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48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48"/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48"/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48"/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48"/>
      <x:c r="B24" s="48"/>
      <x:c r="C24" s="48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48"/>
      <x:c r="B25" s="48"/>
      <x:c r="C25" s="48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48"/>
      <x:c r="B26" s="48"/>
      <x:c r="C26" s="48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48"/>
      <x:c r="B27" s="48"/>
      <x:c r="C27" s="48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48"/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48"/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48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48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48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48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48"/>
      <x:c r="B61" s="48"/>
      <x:c r="C61" s="48"/>
      <x:c r="D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48"/>
      <x:c r="B62" s="48"/>
      <x:c r="C62" s="48"/>
      <x:c r="D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48"/>
      <x:c r="B63" s="48"/>
      <x:c r="C63" s="48"/>
      <x:c r="D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48"/>
      <x:c r="B64" s="48"/>
      <x:c r="C64" s="48"/>
      <x:c r="D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48"/>
      <x:c r="B65" s="48"/>
      <x:c r="C65" s="48"/>
      <x:c r="D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48"/>
      <x:c r="B66" s="48"/>
      <x:c r="C66" s="48"/>
      <x:c r="D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48"/>
      <x:c r="B67" s="48"/>
      <x:c r="C67" s="48"/>
      <x:c r="D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48"/>
      <x:c r="B68" s="48"/>
      <x:c r="C68" s="48"/>
      <x:c r="D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48"/>
      <x:c r="B69" s="48"/>
      <x:c r="C69" s="48"/>
      <x:c r="D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48"/>
      <x:c r="B70" s="48"/>
      <x:c r="C70" s="48"/>
      <x:c r="D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48"/>
      <x:c r="B71" s="48"/>
      <x:c r="C71" s="48"/>
      <x:c r="D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48"/>
      <x:c r="B72" s="48"/>
      <x:c r="C72" s="48"/>
      <x:c r="D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48"/>
      <x:c r="B73" s="48"/>
      <x:c r="C73" s="48"/>
      <x:c r="D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48"/>
      <x:c r="B74" s="48"/>
      <x:c r="C74" s="48"/>
      <x:c r="D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48"/>
      <x:c r="B75" s="48"/>
      <x:c r="C75" s="48"/>
      <x:c r="D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48"/>
      <x:c r="B76" s="48"/>
      <x:c r="C76" s="48"/>
      <x:c r="D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48"/>
      <x:c r="B77" s="48"/>
      <x:c r="C77" s="48"/>
      <x:c r="D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48"/>
      <x:c r="B78" s="48"/>
      <x:c r="C78" s="48"/>
      <x:c r="D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48"/>
      <x:c r="B79" s="48"/>
      <x:c r="C79" s="48"/>
      <x:c r="D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48"/>
      <x:c r="B80" s="48"/>
      <x:c r="C80" s="48"/>
      <x:c r="D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48"/>
      <x:c r="B81" s="48"/>
      <x:c r="C81" s="48"/>
      <x:c r="D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48"/>
      <x:c r="B82" s="48"/>
      <x:c r="C82" s="48"/>
      <x:c r="D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48"/>
      <x:c r="B83" s="48"/>
      <x:c r="C83" s="48"/>
      <x:c r="D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48"/>
      <x:c r="B84" s="48"/>
      <x:c r="C84" s="48"/>
      <x:c r="D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48"/>
      <x:c r="B85" s="48"/>
      <x:c r="C85" s="48"/>
      <x:c r="D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48"/>
      <x:c r="B86" s="48"/>
      <x:c r="C86" s="48"/>
      <x:c r="D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48"/>
      <x:c r="B87" s="48"/>
      <x:c r="C87" s="48"/>
      <x:c r="D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48"/>
      <x:c r="B88" s="48"/>
      <x:c r="C88" s="48"/>
      <x:c r="D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48"/>
      <x:c r="B89" s="48"/>
      <x:c r="C89" s="48"/>
      <x:c r="D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48"/>
      <x:c r="B90" s="48"/>
      <x:c r="C90" s="48"/>
      <x:c r="D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48"/>
      <x:c r="B91" s="48"/>
      <x:c r="C91" s="48"/>
      <x:c r="D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48"/>
      <x:c r="B92" s="48"/>
      <x:c r="C92" s="48"/>
      <x:c r="D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48"/>
      <x:c r="B93" s="48"/>
      <x:c r="C93" s="48"/>
      <x:c r="D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48"/>
      <x:c r="B94" s="48"/>
      <x:c r="C94" s="48"/>
      <x:c r="D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48"/>
      <x:c r="B95" s="48"/>
      <x:c r="C95" s="48"/>
      <x:c r="D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48"/>
      <x:c r="B96" s="48"/>
      <x:c r="C96" s="48"/>
      <x:c r="D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48"/>
      <x:c r="B97" s="48"/>
      <x:c r="C97" s="48"/>
      <x:c r="D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48"/>
      <x:c r="B98" s="48"/>
      <x:c r="C98" s="48"/>
      <x:c r="D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48"/>
      <x:c r="B99" s="48"/>
      <x:c r="C99" s="48"/>
      <x:c r="D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48"/>
      <x:c r="B100" s="48"/>
      <x:c r="C100" s="48"/>
      <x:c r="D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48"/>
      <x:c r="B101" s="48"/>
      <x:c r="C101" s="48"/>
      <x:c r="D101" s="48"/>
      <x:c r="E101" s="48"/>
      <x:c r="F101" s="48"/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48"/>
      <x:c r="B102" s="48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48"/>
      <x:c r="B103" s="48"/>
      <x:c r="C103" s="48"/>
      <x:c r="D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48"/>
      <x:c r="B104" s="48"/>
      <x:c r="C104" s="48"/>
      <x:c r="D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48"/>
      <x:c r="B105" s="48"/>
      <x:c r="C105" s="48"/>
      <x:c r="D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48"/>
      <x:c r="B106" s="48"/>
      <x:c r="C106" s="48"/>
      <x:c r="D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48"/>
      <x:c r="B107" s="48"/>
      <x:c r="C107" s="48"/>
      <x:c r="D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48"/>
      <x:c r="B108" s="48"/>
      <x:c r="C108" s="48"/>
      <x:c r="D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48"/>
      <x:c r="B109" s="48"/>
      <x:c r="C109" s="48"/>
      <x:c r="D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48"/>
      <x:c r="B110" s="48"/>
      <x:c r="C110" s="48"/>
      <x:c r="D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48"/>
      <x:c r="B111" s="48"/>
      <x:c r="C111" s="48"/>
      <x:c r="D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48"/>
      <x:c r="B112" s="48"/>
      <x:c r="C112" s="48"/>
      <x:c r="D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48"/>
      <x:c r="B113" s="48"/>
      <x:c r="C113" s="48"/>
      <x:c r="D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48"/>
      <x:c r="B114" s="48"/>
      <x:c r="C114" s="48"/>
      <x:c r="D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48"/>
      <x:c r="B115" s="48"/>
      <x:c r="C115" s="48"/>
      <x:c r="D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48"/>
      <x:c r="B116" s="48"/>
      <x:c r="C116" s="48"/>
      <x:c r="D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48"/>
      <x:c r="B117" s="48"/>
      <x:c r="C117" s="48"/>
      <x:c r="D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48"/>
      <x:c r="B118" s="48"/>
      <x:c r="C118" s="48"/>
      <x:c r="D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48"/>
      <x:c r="B119" s="48"/>
      <x:c r="C119" s="48"/>
      <x:c r="D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48"/>
      <x:c r="B120" s="48"/>
      <x:c r="C120" s="48"/>
      <x:c r="D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  <x:row r="121">
      <x:c r="A121" s="48"/>
      <x:c r="B121" s="48"/>
      <x:c r="C121" s="48"/>
      <x:c r="D121" s="48"/>
      <x:c r="E121" s="48"/>
      <x:c r="F121" s="48"/>
      <x:c r="G121" s="48"/>
      <x:c r="H121" s="48"/>
      <x:c r="I121" s="48"/>
      <x:c r="J121" s="48"/>
      <x:c r="K121" s="48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8"/>
      <x:c r="Z121" s="48"/>
    </x:row>
    <x:row r="122">
      <x:c r="A122" s="48"/>
      <x:c r="B122" s="48"/>
      <x:c r="C122" s="48"/>
      <x:c r="D122" s="48"/>
      <x:c r="E122" s="48"/>
      <x:c r="F122" s="48"/>
      <x:c r="G122" s="48"/>
      <x:c r="H122" s="48"/>
      <x:c r="I122" s="48"/>
      <x:c r="J122" s="48"/>
      <x:c r="K122" s="48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8"/>
      <x:c r="Z122" s="48"/>
    </x:row>
    <x:row r="123">
      <x:c r="A123" s="48"/>
      <x:c r="B123" s="48"/>
      <x:c r="C123" s="48"/>
      <x:c r="D123" s="48"/>
      <x:c r="E123" s="48"/>
      <x:c r="F123" s="48"/>
      <x:c r="G123" s="48"/>
      <x:c r="H123" s="48"/>
      <x:c r="I123" s="48"/>
      <x:c r="J123" s="48"/>
      <x:c r="K123" s="48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8"/>
      <x:c r="Z123" s="48"/>
    </x:row>
    <x:row r="124">
      <x:c r="A124" s="48"/>
      <x:c r="B124" s="48"/>
      <x:c r="C124" s="48"/>
      <x:c r="D124" s="48"/>
      <x:c r="E124" s="48"/>
      <x:c r="F124" s="48"/>
      <x:c r="G124" s="48"/>
      <x:c r="H124" s="48"/>
      <x:c r="I124" s="48"/>
      <x:c r="J124" s="48"/>
      <x:c r="K124" s="48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8"/>
      <x:c r="Z124" s="48"/>
    </x:row>
    <x:row r="125">
      <x:c r="A125" s="48"/>
      <x:c r="B125" s="48"/>
      <x:c r="C125" s="48"/>
      <x:c r="D125" s="48"/>
      <x:c r="E125" s="48"/>
      <x:c r="F125" s="48"/>
      <x:c r="G125" s="48"/>
      <x:c r="H125" s="48"/>
      <x:c r="I125" s="48"/>
      <x:c r="J125" s="48"/>
      <x:c r="K125" s="48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8"/>
      <x:c r="X125" s="48"/>
      <x:c r="Y125" s="48"/>
      <x:c r="Z125" s="48"/>
    </x:row>
    <x:row r="126">
      <x:c r="A126" s="48"/>
      <x:c r="B126" s="48"/>
      <x:c r="C126" s="48"/>
      <x:c r="D126" s="48"/>
      <x:c r="E126" s="48"/>
      <x:c r="F126" s="48"/>
      <x:c r="G126" s="48"/>
      <x:c r="H126" s="48"/>
      <x:c r="I126" s="48"/>
      <x:c r="J126" s="48"/>
      <x:c r="K126" s="48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8"/>
      <x:c r="X126" s="48"/>
      <x:c r="Y126" s="48"/>
      <x:c r="Z126" s="48"/>
    </x:row>
    <x:row r="127">
      <x:c r="A127" s="48"/>
      <x:c r="B127" s="48"/>
      <x:c r="C127" s="48"/>
      <x:c r="D127" s="48"/>
      <x:c r="E127" s="48"/>
      <x:c r="F127" s="48"/>
      <x:c r="G127" s="48"/>
      <x:c r="H127" s="48"/>
      <x:c r="I127" s="48"/>
      <x:c r="J127" s="48"/>
      <x:c r="K127" s="48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8"/>
      <x:c r="X127" s="48"/>
      <x:c r="Y127" s="48"/>
      <x:c r="Z127" s="48"/>
    </x:row>
    <x:row r="128">
      <x:c r="A128" s="48"/>
      <x:c r="B128" s="48"/>
      <x:c r="C128" s="48"/>
      <x:c r="D128" s="48"/>
      <x:c r="E128" s="48"/>
      <x:c r="F128" s="48"/>
      <x:c r="G128" s="48"/>
      <x:c r="H128" s="48"/>
      <x:c r="I128" s="48"/>
      <x:c r="J128" s="48"/>
      <x:c r="K128" s="48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8"/>
      <x:c r="X128" s="48"/>
      <x:c r="Y128" s="48"/>
      <x:c r="Z128" s="48"/>
    </x:row>
    <x:row r="129">
      <x:c r="A129" s="48"/>
      <x:c r="B129" s="48"/>
      <x:c r="C129" s="48"/>
      <x:c r="D129" s="48"/>
      <x:c r="E129" s="48"/>
      <x:c r="F129" s="48"/>
      <x:c r="G129" s="48"/>
      <x:c r="H129" s="48"/>
      <x:c r="I129" s="48"/>
      <x:c r="J129" s="48"/>
      <x:c r="K129" s="48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8"/>
      <x:c r="X129" s="48"/>
      <x:c r="Y129" s="48"/>
      <x:c r="Z129" s="48"/>
    </x:row>
    <x:row r="130">
      <x:c r="A130" s="48"/>
      <x:c r="B130" s="48"/>
      <x:c r="C130" s="48"/>
      <x:c r="D130" s="48"/>
      <x:c r="E130" s="48"/>
      <x:c r="F130" s="48"/>
      <x:c r="G130" s="48"/>
      <x:c r="H130" s="48"/>
      <x:c r="I130" s="48"/>
      <x:c r="J130" s="48"/>
      <x:c r="K130" s="48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8"/>
      <x:c r="X130" s="48"/>
      <x:c r="Y130" s="48"/>
      <x:c r="Z130" s="48"/>
    </x:row>
    <x:row r="131">
      <x:c r="A131" s="48"/>
      <x:c r="B131" s="48"/>
      <x:c r="C131" s="48"/>
      <x:c r="D131" s="48"/>
      <x:c r="E131" s="48"/>
      <x:c r="F131" s="48"/>
      <x:c r="G131" s="48"/>
      <x:c r="H131" s="48"/>
      <x:c r="I131" s="48"/>
      <x:c r="J131" s="48"/>
      <x:c r="K131" s="48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8"/>
      <x:c r="X131" s="48"/>
      <x:c r="Y131" s="48"/>
      <x:c r="Z131" s="48"/>
    </x:row>
    <x:row r="132">
      <x:c r="A132" s="48"/>
      <x:c r="B132" s="48"/>
      <x:c r="C132" s="48"/>
      <x:c r="D132" s="48"/>
      <x:c r="E132" s="48"/>
      <x:c r="F132" s="48"/>
      <x:c r="G132" s="48"/>
      <x:c r="H132" s="48"/>
      <x:c r="I132" s="48"/>
      <x:c r="J132" s="48"/>
      <x:c r="K132" s="48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8"/>
      <x:c r="X132" s="48"/>
      <x:c r="Y132" s="48"/>
      <x:c r="Z132" s="48"/>
    </x:row>
    <x:row r="133">
      <x:c r="A133" s="48"/>
      <x:c r="B133" s="48"/>
      <x:c r="C133" s="48"/>
      <x:c r="D133" s="48"/>
      <x:c r="E133" s="48"/>
      <x:c r="F133" s="48"/>
      <x:c r="G133" s="48"/>
      <x:c r="H133" s="48"/>
      <x:c r="I133" s="48"/>
      <x:c r="J133" s="48"/>
      <x:c r="K133" s="48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8"/>
      <x:c r="X133" s="48"/>
      <x:c r="Y133" s="48"/>
      <x:c r="Z133" s="48"/>
    </x:row>
    <x:row r="134">
      <x:c r="A134" s="48"/>
      <x:c r="B134" s="48"/>
      <x:c r="C134" s="48"/>
      <x:c r="D134" s="48"/>
      <x:c r="E134" s="48"/>
      <x:c r="F134" s="48"/>
      <x:c r="G134" s="48"/>
      <x:c r="H134" s="48"/>
      <x:c r="I134" s="48"/>
      <x:c r="J134" s="48"/>
      <x:c r="K134" s="48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8"/>
      <x:c r="X134" s="48"/>
      <x:c r="Y134" s="48"/>
      <x:c r="Z134" s="48"/>
    </x:row>
    <x:row r="135">
      <x:c r="A135" s="48"/>
      <x:c r="B135" s="48"/>
      <x:c r="C135" s="48"/>
      <x:c r="D135" s="48"/>
      <x:c r="E135" s="48"/>
      <x:c r="F135" s="48"/>
      <x:c r="G135" s="48"/>
      <x:c r="H135" s="48"/>
      <x:c r="I135" s="48"/>
      <x:c r="J135" s="48"/>
      <x:c r="K135" s="48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8"/>
      <x:c r="X135" s="48"/>
      <x:c r="Y135" s="48"/>
      <x:c r="Z135" s="48"/>
    </x:row>
    <x:row r="136">
      <x:c r="A136" s="48"/>
      <x:c r="B136" s="48"/>
      <x:c r="C136" s="48"/>
      <x:c r="D136" s="48"/>
      <x:c r="E136" s="48"/>
      <x:c r="F136" s="48"/>
      <x:c r="G136" s="48"/>
      <x:c r="H136" s="48"/>
      <x:c r="I136" s="48"/>
      <x:c r="J136" s="48"/>
      <x:c r="K136" s="48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8"/>
      <x:c r="X136" s="48"/>
      <x:c r="Y136" s="48"/>
      <x:c r="Z136" s="48"/>
    </x:row>
    <x:row r="137">
      <x:c r="A137" s="48"/>
      <x:c r="B137" s="48"/>
      <x:c r="C137" s="48"/>
      <x:c r="D137" s="48"/>
      <x:c r="E137" s="48"/>
      <x:c r="F137" s="48"/>
      <x:c r="G137" s="48"/>
      <x:c r="H137" s="48"/>
      <x:c r="I137" s="48"/>
      <x:c r="J137" s="48"/>
      <x:c r="K137" s="48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8"/>
      <x:c r="X137" s="48"/>
      <x:c r="Y137" s="48"/>
      <x:c r="Z137" s="48"/>
    </x:row>
    <x:row r="138">
      <x:c r="A138" s="48"/>
      <x:c r="B138" s="48"/>
      <x:c r="C138" s="48"/>
      <x:c r="D138" s="48"/>
      <x:c r="E138" s="48"/>
      <x:c r="F138" s="48"/>
      <x:c r="G138" s="48"/>
      <x:c r="H138" s="48"/>
      <x:c r="I138" s="48"/>
      <x:c r="J138" s="48"/>
      <x:c r="K138" s="48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8"/>
      <x:c r="X138" s="48"/>
      <x:c r="Y138" s="48"/>
      <x:c r="Z138" s="48"/>
    </x:row>
    <x:row r="139">
      <x:c r="A139" s="48"/>
      <x:c r="B139" s="48"/>
      <x:c r="C139" s="48"/>
      <x:c r="D139" s="48"/>
      <x:c r="E139" s="48"/>
      <x:c r="F139" s="48"/>
      <x:c r="G139" s="48"/>
      <x:c r="H139" s="48"/>
      <x:c r="I139" s="48"/>
      <x:c r="J139" s="48"/>
      <x:c r="K139" s="48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8"/>
      <x:c r="X139" s="48"/>
      <x:c r="Y139" s="48"/>
      <x:c r="Z139" s="48"/>
    </x:row>
    <x:row r="140">
      <x:c r="A140" s="48"/>
      <x:c r="B140" s="48"/>
      <x:c r="C140" s="48"/>
      <x:c r="D140" s="48"/>
      <x:c r="E140" s="48"/>
      <x:c r="F140" s="48"/>
      <x:c r="G140" s="48"/>
      <x:c r="H140" s="48"/>
      <x:c r="I140" s="48"/>
      <x:c r="J140" s="48"/>
      <x:c r="K140" s="48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8"/>
      <x:c r="X140" s="48"/>
      <x:c r="Y140" s="48"/>
      <x:c r="Z140" s="48"/>
    </x:row>
    <x:row r="141">
      <x:c r="A141" s="48"/>
      <x:c r="B141" s="48"/>
      <x:c r="C141" s="48"/>
      <x:c r="D141" s="48"/>
      <x:c r="E141" s="48"/>
      <x:c r="F141" s="48"/>
      <x:c r="G141" s="48"/>
      <x:c r="H141" s="48"/>
      <x:c r="I141" s="48"/>
      <x:c r="J141" s="48"/>
      <x:c r="K141" s="48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8"/>
      <x:c r="X141" s="48"/>
      <x:c r="Y141" s="48"/>
      <x:c r="Z141" s="48"/>
    </x:row>
    <x:row r="142">
      <x:c r="A142" s="48"/>
      <x:c r="B142" s="48"/>
      <x:c r="C142" s="48"/>
      <x:c r="D142" s="48"/>
      <x:c r="E142" s="48"/>
      <x:c r="F142" s="48"/>
      <x:c r="G142" s="48"/>
      <x:c r="H142" s="48"/>
      <x:c r="I142" s="48"/>
      <x:c r="J142" s="48"/>
      <x:c r="K142" s="48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8"/>
      <x:c r="X142" s="48"/>
      <x:c r="Y142" s="48"/>
      <x:c r="Z142" s="48"/>
    </x:row>
    <x:row r="143">
      <x:c r="A143" s="48"/>
      <x:c r="B143" s="48"/>
      <x:c r="C143" s="48"/>
      <x:c r="D143" s="48"/>
      <x:c r="E143" s="48"/>
      <x:c r="F143" s="48"/>
      <x:c r="G143" s="48"/>
      <x:c r="H143" s="48"/>
      <x:c r="I143" s="48"/>
      <x:c r="J143" s="48"/>
      <x:c r="K143" s="48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8"/>
      <x:c r="X143" s="48"/>
      <x:c r="Y143" s="48"/>
      <x:c r="Z143" s="48"/>
    </x:row>
    <x:row r="144">
      <x:c r="A144" s="48"/>
      <x:c r="B144" s="48"/>
      <x:c r="C144" s="48"/>
      <x:c r="D144" s="48"/>
      <x:c r="E144" s="48"/>
      <x:c r="F144" s="48"/>
      <x:c r="G144" s="48"/>
      <x:c r="H144" s="48"/>
      <x:c r="I144" s="48"/>
      <x:c r="J144" s="48"/>
      <x:c r="K144" s="48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8"/>
      <x:c r="X144" s="48"/>
      <x:c r="Y144" s="48"/>
      <x:c r="Z144" s="48"/>
    </x:row>
    <x:row r="145">
      <x:c r="A145" s="48"/>
      <x:c r="B145" s="48"/>
      <x:c r="C145" s="48"/>
      <x:c r="D145" s="48"/>
      <x:c r="E145" s="48"/>
      <x:c r="F145" s="48"/>
      <x:c r="G145" s="48"/>
      <x:c r="H145" s="48"/>
      <x:c r="I145" s="48"/>
      <x:c r="J145" s="48"/>
      <x:c r="K145" s="48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8"/>
      <x:c r="X145" s="48"/>
      <x:c r="Y145" s="48"/>
      <x:c r="Z145" s="48"/>
    </x:row>
    <x:row r="146">
      <x:c r="A146" s="48"/>
      <x:c r="B146" s="48"/>
      <x:c r="C146" s="48"/>
      <x:c r="D146" s="48"/>
      <x:c r="E146" s="48"/>
      <x:c r="F146" s="48"/>
      <x:c r="G146" s="48"/>
      <x:c r="H146" s="48"/>
      <x:c r="I146" s="48"/>
      <x:c r="J146" s="48"/>
      <x:c r="K146" s="48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8"/>
      <x:c r="X146" s="48"/>
      <x:c r="Y146" s="48"/>
      <x:c r="Z146" s="48"/>
    </x:row>
    <x:row r="147">
      <x:c r="A147" s="48"/>
      <x:c r="B147" s="48"/>
      <x:c r="C147" s="48"/>
      <x:c r="D147" s="48"/>
      <x:c r="E147" s="48"/>
      <x:c r="F147" s="48"/>
      <x:c r="G147" s="48"/>
      <x:c r="H147" s="48"/>
      <x:c r="I147" s="48"/>
      <x:c r="J147" s="48"/>
      <x:c r="K147" s="48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8"/>
      <x:c r="X147" s="48"/>
      <x:c r="Y147" s="48"/>
      <x:c r="Z147" s="48"/>
    </x:row>
    <x:row r="148">
      <x:c r="A148" s="48"/>
      <x:c r="B148" s="48"/>
      <x:c r="C148" s="48"/>
      <x:c r="D148" s="48"/>
      <x:c r="E148" s="48"/>
      <x:c r="F148" s="48"/>
      <x:c r="G148" s="48"/>
      <x:c r="H148" s="48"/>
      <x:c r="I148" s="48"/>
      <x:c r="J148" s="48"/>
      <x:c r="K148" s="48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8"/>
      <x:c r="X148" s="48"/>
      <x:c r="Y148" s="48"/>
      <x:c r="Z148" s="48"/>
    </x:row>
    <x:row r="149">
      <x:c r="A149" s="48"/>
      <x:c r="B149" s="48"/>
      <x:c r="C149" s="48"/>
      <x:c r="D149" s="48"/>
      <x:c r="E149" s="48"/>
      <x:c r="F149" s="48"/>
      <x:c r="G149" s="48"/>
      <x:c r="H149" s="48"/>
      <x:c r="I149" s="48"/>
      <x:c r="J149" s="48"/>
      <x:c r="K149" s="48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8"/>
      <x:c r="X149" s="48"/>
      <x:c r="Y149" s="48"/>
      <x:c r="Z149" s="48"/>
    </x:row>
    <x:row r="150">
      <x:c r="A150" s="48"/>
      <x:c r="B150" s="48"/>
      <x:c r="C150" s="48"/>
      <x:c r="D150" s="48"/>
      <x:c r="E150" s="48"/>
      <x:c r="F150" s="48"/>
      <x:c r="G150" s="48"/>
      <x:c r="H150" s="48"/>
      <x:c r="I150" s="48"/>
      <x:c r="J150" s="48"/>
      <x:c r="K150" s="48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8"/>
      <x:c r="X150" s="48"/>
      <x:c r="Y150" s="48"/>
      <x:c r="Z150" s="48"/>
    </x:row>
    <x:row r="151">
      <x:c r="A151" s="48"/>
      <x:c r="B151" s="48"/>
      <x:c r="C151" s="48"/>
      <x:c r="D151" s="48"/>
      <x:c r="E151" s="48"/>
      <x:c r="F151" s="48"/>
      <x:c r="G151" s="48"/>
      <x:c r="H151" s="48"/>
      <x:c r="I151" s="48"/>
      <x:c r="J151" s="48"/>
      <x:c r="K151" s="48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8"/>
      <x:c r="X151" s="48"/>
      <x:c r="Y151" s="48"/>
      <x:c r="Z151" s="48"/>
    </x:row>
    <x:row r="152">
      <x:c r="A152" s="48"/>
      <x:c r="B152" s="48"/>
      <x:c r="C152" s="48"/>
      <x:c r="D152" s="48"/>
      <x:c r="E152" s="48"/>
      <x:c r="F152" s="48"/>
      <x:c r="G152" s="48"/>
      <x:c r="H152" s="48"/>
      <x:c r="I152" s="48"/>
      <x:c r="J152" s="48"/>
      <x:c r="K152" s="48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8"/>
      <x:c r="X152" s="48"/>
      <x:c r="Y152" s="48"/>
      <x:c r="Z152" s="48"/>
    </x:row>
    <x:row r="153">
      <x:c r="A153" s="48"/>
      <x:c r="B153" s="48"/>
      <x:c r="C153" s="48"/>
      <x:c r="D153" s="48"/>
      <x:c r="E153" s="48"/>
      <x:c r="F153" s="48"/>
      <x:c r="G153" s="48"/>
      <x:c r="H153" s="48"/>
      <x:c r="I153" s="48"/>
      <x:c r="J153" s="48"/>
      <x:c r="K153" s="48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8"/>
      <x:c r="X153" s="48"/>
      <x:c r="Y153" s="48"/>
      <x:c r="Z153" s="48"/>
    </x:row>
    <x:row r="154">
      <x:c r="A154" s="48"/>
      <x:c r="B154" s="48"/>
      <x:c r="C154" s="48"/>
      <x:c r="D154" s="48"/>
      <x:c r="E154" s="48"/>
      <x:c r="F154" s="48"/>
      <x:c r="G154" s="48"/>
      <x:c r="H154" s="48"/>
      <x:c r="I154" s="48"/>
      <x:c r="J154" s="48"/>
      <x:c r="K154" s="48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8"/>
      <x:c r="X154" s="48"/>
      <x:c r="Y154" s="48"/>
      <x:c r="Z154" s="48"/>
    </x:row>
    <x:row r="155">
      <x:c r="A155" s="48"/>
      <x:c r="B155" s="48"/>
      <x:c r="C155" s="48"/>
      <x:c r="D155" s="48"/>
      <x:c r="E155" s="48"/>
      <x:c r="F155" s="48"/>
      <x:c r="G155" s="48"/>
      <x:c r="H155" s="48"/>
      <x:c r="I155" s="48"/>
      <x:c r="J155" s="48"/>
      <x:c r="K155" s="48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8"/>
      <x:c r="X155" s="48"/>
      <x:c r="Y155" s="48"/>
      <x:c r="Z155" s="48"/>
    </x:row>
    <x:row r="156">
      <x:c r="A156" s="48"/>
      <x:c r="B156" s="48"/>
      <x:c r="C156" s="48"/>
      <x:c r="D156" s="48"/>
      <x:c r="E156" s="48"/>
      <x:c r="F156" s="48"/>
      <x:c r="G156" s="48"/>
      <x:c r="H156" s="48"/>
      <x:c r="I156" s="48"/>
      <x:c r="J156" s="48"/>
      <x:c r="K156" s="48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8"/>
      <x:c r="X156" s="48"/>
      <x:c r="Y156" s="48"/>
      <x:c r="Z156" s="48"/>
    </x:row>
    <x:row r="157">
      <x:c r="A157" s="48"/>
      <x:c r="B157" s="48"/>
      <x:c r="C157" s="48"/>
      <x:c r="D157" s="48"/>
      <x:c r="E157" s="48"/>
      <x:c r="F157" s="48"/>
      <x:c r="G157" s="48"/>
      <x:c r="H157" s="48"/>
      <x:c r="I157" s="48"/>
      <x:c r="J157" s="48"/>
      <x:c r="K157" s="48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8"/>
      <x:c r="X157" s="48"/>
      <x:c r="Y157" s="48"/>
      <x:c r="Z157" s="48"/>
    </x:row>
    <x:row r="158">
      <x:c r="A158" s="48"/>
      <x:c r="B158" s="48"/>
      <x:c r="C158" s="48"/>
      <x:c r="D158" s="48"/>
      <x:c r="E158" s="48"/>
      <x:c r="F158" s="48"/>
      <x:c r="G158" s="48"/>
      <x:c r="H158" s="48"/>
      <x:c r="I158" s="48"/>
      <x:c r="J158" s="48"/>
      <x:c r="K158" s="48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8"/>
      <x:c r="X158" s="48"/>
      <x:c r="Y158" s="48"/>
      <x:c r="Z158" s="48"/>
    </x:row>
    <x:row r="159">
      <x:c r="A159" s="48"/>
      <x:c r="B159" s="48"/>
      <x:c r="C159" s="48"/>
      <x:c r="D159" s="48"/>
      <x:c r="E159" s="48"/>
      <x:c r="F159" s="48"/>
      <x:c r="G159" s="48"/>
      <x:c r="H159" s="48"/>
      <x:c r="I159" s="48"/>
      <x:c r="J159" s="48"/>
      <x:c r="K159" s="48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8"/>
      <x:c r="X159" s="48"/>
      <x:c r="Y159" s="48"/>
      <x:c r="Z159" s="48"/>
    </x:row>
    <x:row r="160">
      <x:c r="A160" s="48"/>
      <x:c r="B160" s="48"/>
      <x:c r="C160" s="48"/>
      <x:c r="D160" s="48"/>
      <x:c r="E160" s="48"/>
      <x:c r="F160" s="48"/>
      <x:c r="G160" s="48"/>
      <x:c r="H160" s="48"/>
      <x:c r="I160" s="48"/>
      <x:c r="J160" s="48"/>
      <x:c r="K160" s="48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8"/>
      <x:c r="X160" s="48"/>
      <x:c r="Y160" s="48"/>
      <x:c r="Z160" s="48"/>
    </x:row>
    <x:row r="161">
      <x:c r="A161" s="48"/>
      <x:c r="B161" s="48"/>
      <x:c r="C161" s="48"/>
      <x:c r="D161" s="48"/>
      <x:c r="E161" s="48"/>
      <x:c r="F161" s="48"/>
      <x:c r="G161" s="48"/>
      <x:c r="H161" s="48"/>
      <x:c r="I161" s="48"/>
      <x:c r="J161" s="48"/>
      <x:c r="K161" s="48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8"/>
      <x:c r="X161" s="48"/>
      <x:c r="Y161" s="48"/>
      <x:c r="Z161" s="48"/>
    </x:row>
    <x:row r="162">
      <x:c r="A162" s="48"/>
      <x:c r="B162" s="48"/>
      <x:c r="C162" s="48"/>
      <x:c r="D162" s="48"/>
      <x:c r="E162" s="48"/>
      <x:c r="F162" s="48"/>
      <x:c r="G162" s="48"/>
      <x:c r="H162" s="48"/>
      <x:c r="I162" s="48"/>
      <x:c r="J162" s="48"/>
      <x:c r="K162" s="48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8"/>
      <x:c r="X162" s="48"/>
      <x:c r="Y162" s="48"/>
      <x:c r="Z162" s="48"/>
    </x:row>
    <x:row r="163">
      <x:c r="A163" s="48"/>
      <x:c r="B163" s="48"/>
      <x:c r="C163" s="48"/>
      <x:c r="D163" s="48"/>
      <x:c r="E163" s="48"/>
      <x:c r="F163" s="48"/>
      <x:c r="G163" s="48"/>
      <x:c r="H163" s="48"/>
      <x:c r="I163" s="48"/>
      <x:c r="J163" s="48"/>
      <x:c r="K163" s="48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8"/>
      <x:c r="X163" s="48"/>
      <x:c r="Y163" s="48"/>
      <x:c r="Z163" s="48"/>
    </x:row>
    <x:row r="164">
      <x:c r="A164" s="48"/>
      <x:c r="B164" s="48"/>
      <x:c r="C164" s="48"/>
      <x:c r="D164" s="48"/>
      <x:c r="E164" s="48"/>
      <x:c r="F164" s="48"/>
      <x:c r="G164" s="48"/>
      <x:c r="H164" s="48"/>
      <x:c r="I164" s="48"/>
      <x:c r="J164" s="48"/>
      <x:c r="K164" s="48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8"/>
      <x:c r="X164" s="48"/>
      <x:c r="Y164" s="48"/>
      <x:c r="Z164" s="48"/>
    </x:row>
    <x:row r="165">
      <x:c r="A165" s="48"/>
      <x:c r="B165" s="48"/>
      <x:c r="C165" s="48"/>
      <x:c r="D165" s="48"/>
      <x:c r="E165" s="48"/>
      <x:c r="F165" s="48"/>
      <x:c r="G165" s="48"/>
      <x:c r="H165" s="48"/>
      <x:c r="I165" s="48"/>
      <x:c r="J165" s="48"/>
      <x:c r="K165" s="48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8"/>
      <x:c r="X165" s="48"/>
      <x:c r="Y165" s="48"/>
      <x:c r="Z165" s="48"/>
    </x:row>
    <x:row r="166">
      <x:c r="A166" s="48"/>
      <x:c r="B166" s="48"/>
      <x:c r="C166" s="48"/>
      <x:c r="D166" s="48"/>
      <x:c r="E166" s="48"/>
      <x:c r="F166" s="48"/>
      <x:c r="G166" s="48"/>
      <x:c r="H166" s="48"/>
      <x:c r="I166" s="48"/>
      <x:c r="J166" s="48"/>
      <x:c r="K166" s="48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8"/>
      <x:c r="X166" s="48"/>
      <x:c r="Y166" s="48"/>
      <x:c r="Z166" s="48"/>
    </x:row>
    <x:row r="167">
      <x:c r="A167" s="48"/>
      <x:c r="B167" s="48"/>
      <x:c r="C167" s="48"/>
      <x:c r="D167" s="48"/>
      <x:c r="E167" s="48"/>
      <x:c r="F167" s="48"/>
      <x:c r="G167" s="48"/>
      <x:c r="H167" s="48"/>
      <x:c r="I167" s="48"/>
      <x:c r="J167" s="48"/>
      <x:c r="K167" s="48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8"/>
      <x:c r="X167" s="48"/>
      <x:c r="Y167" s="48"/>
      <x:c r="Z167" s="48"/>
    </x:row>
    <x:row r="168">
      <x:c r="A168" s="48"/>
      <x:c r="B168" s="48"/>
      <x:c r="C168" s="48"/>
      <x:c r="D168" s="48"/>
      <x:c r="E168" s="48"/>
      <x:c r="F168" s="48"/>
      <x:c r="G168" s="48"/>
      <x:c r="H168" s="48"/>
      <x:c r="I168" s="48"/>
      <x:c r="J168" s="48"/>
      <x:c r="K168" s="48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8"/>
      <x:c r="X168" s="48"/>
      <x:c r="Y168" s="48"/>
      <x:c r="Z168" s="48"/>
    </x:row>
    <x:row r="169">
      <x:c r="A169" s="48"/>
      <x:c r="B169" s="48"/>
      <x:c r="C169" s="48"/>
      <x:c r="D169" s="48"/>
      <x:c r="E169" s="48"/>
      <x:c r="F169" s="48"/>
      <x:c r="G169" s="48"/>
      <x:c r="H169" s="48"/>
      <x:c r="I169" s="48"/>
      <x:c r="J169" s="48"/>
      <x:c r="K169" s="48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8"/>
      <x:c r="X169" s="48"/>
      <x:c r="Y169" s="48"/>
      <x:c r="Z169" s="48"/>
    </x:row>
    <x:row r="170">
      <x:c r="A170" s="48"/>
      <x:c r="B170" s="48"/>
      <x:c r="C170" s="48"/>
      <x:c r="D170" s="48"/>
      <x:c r="E170" s="48"/>
      <x:c r="F170" s="48"/>
      <x:c r="G170" s="48"/>
      <x:c r="H170" s="48"/>
      <x:c r="I170" s="48"/>
      <x:c r="J170" s="48"/>
      <x:c r="K170" s="48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8"/>
      <x:c r="X170" s="48"/>
      <x:c r="Y170" s="48"/>
      <x:c r="Z170" s="48"/>
    </x:row>
    <x:row r="171">
      <x:c r="A171" s="48"/>
      <x:c r="B171" s="48"/>
      <x:c r="C171" s="48"/>
      <x:c r="D171" s="48"/>
      <x:c r="E171" s="48"/>
      <x:c r="F171" s="48"/>
      <x:c r="G171" s="48"/>
      <x:c r="H171" s="48"/>
      <x:c r="I171" s="48"/>
      <x:c r="J171" s="48"/>
      <x:c r="K171" s="48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8"/>
      <x:c r="X171" s="48"/>
      <x:c r="Y171" s="48"/>
      <x:c r="Z171" s="48"/>
    </x:row>
    <x:row r="172">
      <x:c r="A172" s="48"/>
      <x:c r="B172" s="48"/>
      <x:c r="C172" s="48"/>
      <x:c r="D172" s="48"/>
      <x:c r="E172" s="48"/>
      <x:c r="F172" s="48"/>
      <x:c r="G172" s="48"/>
      <x:c r="H172" s="48"/>
      <x:c r="I172" s="48"/>
      <x:c r="J172" s="48"/>
      <x:c r="K172" s="48"/>
      <x:c r="L172" s="48"/>
      <x:c r="M172" s="48"/>
      <x:c r="N172" s="48"/>
      <x:c r="O172" s="48"/>
      <x:c r="P172" s="48"/>
      <x:c r="Q172" s="48"/>
      <x:c r="R172" s="48"/>
      <x:c r="S172" s="48"/>
      <x:c r="T172" s="48"/>
      <x:c r="U172" s="48"/>
      <x:c r="V172" s="48"/>
      <x:c r="W172" s="48"/>
      <x:c r="X172" s="48"/>
      <x:c r="Y172" s="48"/>
      <x:c r="Z172" s="48"/>
    </x:row>
    <x:row r="173">
      <x:c r="A173" s="48"/>
      <x:c r="B173" s="48"/>
      <x:c r="C173" s="48"/>
      <x:c r="D173" s="48"/>
      <x:c r="E173" s="48"/>
      <x:c r="F173" s="48"/>
      <x:c r="G173" s="48"/>
      <x:c r="H173" s="48"/>
      <x:c r="I173" s="48"/>
      <x:c r="J173" s="48"/>
      <x:c r="K173" s="48"/>
      <x:c r="L173" s="48"/>
      <x:c r="M173" s="48"/>
      <x:c r="N173" s="48"/>
      <x:c r="O173" s="48"/>
      <x:c r="P173" s="48"/>
      <x:c r="Q173" s="48"/>
      <x:c r="R173" s="48"/>
      <x:c r="S173" s="48"/>
      <x:c r="T173" s="48"/>
      <x:c r="U173" s="48"/>
      <x:c r="V173" s="48"/>
      <x:c r="W173" s="48"/>
      <x:c r="X173" s="48"/>
      <x:c r="Y173" s="48"/>
      <x:c r="Z173" s="48"/>
    </x:row>
    <x:row r="174">
      <x:c r="A174" s="48"/>
      <x:c r="B174" s="48"/>
      <x:c r="C174" s="48"/>
      <x:c r="D174" s="48"/>
      <x:c r="E174" s="48"/>
      <x:c r="F174" s="48"/>
      <x:c r="G174" s="48"/>
      <x:c r="H174" s="48"/>
      <x:c r="I174" s="48"/>
      <x:c r="J174" s="48"/>
      <x:c r="K174" s="48"/>
      <x:c r="L174" s="48"/>
      <x:c r="M174" s="48"/>
      <x:c r="N174" s="48"/>
      <x:c r="O174" s="48"/>
      <x:c r="P174" s="48"/>
      <x:c r="Q174" s="48"/>
      <x:c r="R174" s="48"/>
      <x:c r="S174" s="48"/>
      <x:c r="T174" s="48"/>
      <x:c r="U174" s="48"/>
      <x:c r="V174" s="48"/>
      <x:c r="W174" s="48"/>
      <x:c r="X174" s="48"/>
      <x:c r="Y174" s="48"/>
      <x:c r="Z174" s="48"/>
    </x:row>
    <x:row r="175">
      <x:c r="A175" s="48"/>
      <x:c r="B175" s="48"/>
      <x:c r="C175" s="48"/>
      <x:c r="D175" s="48"/>
      <x:c r="E175" s="48"/>
      <x:c r="F175" s="48"/>
      <x:c r="G175" s="48"/>
      <x:c r="H175" s="48"/>
      <x:c r="I175" s="48"/>
      <x:c r="J175" s="48"/>
      <x:c r="K175" s="48"/>
      <x:c r="L175" s="48"/>
      <x:c r="M175" s="48"/>
      <x:c r="N175" s="48"/>
      <x:c r="O175" s="48"/>
      <x:c r="P175" s="48"/>
      <x:c r="Q175" s="48"/>
      <x:c r="R175" s="48"/>
      <x:c r="S175" s="48"/>
      <x:c r="T175" s="48"/>
      <x:c r="U175" s="48"/>
      <x:c r="V175" s="48"/>
      <x:c r="W175" s="48"/>
      <x:c r="X175" s="48"/>
      <x:c r="Y175" s="48"/>
      <x:c r="Z175" s="48"/>
    </x:row>
    <x:row r="176">
      <x:c r="A176" s="48"/>
      <x:c r="B176" s="48"/>
      <x:c r="C176" s="48"/>
      <x:c r="D176" s="48"/>
      <x:c r="E176" s="48"/>
      <x:c r="F176" s="48"/>
      <x:c r="G176" s="48"/>
      <x:c r="H176" s="48"/>
      <x:c r="I176" s="48"/>
      <x:c r="J176" s="48"/>
      <x:c r="K176" s="48"/>
      <x:c r="L176" s="48"/>
      <x:c r="M176" s="48"/>
      <x:c r="N176" s="48"/>
      <x:c r="O176" s="48"/>
      <x:c r="P176" s="48"/>
      <x:c r="Q176" s="48"/>
      <x:c r="R176" s="48"/>
      <x:c r="S176" s="48"/>
      <x:c r="T176" s="48"/>
      <x:c r="U176" s="48"/>
      <x:c r="V176" s="48"/>
      <x:c r="W176" s="48"/>
      <x:c r="X176" s="48"/>
      <x:c r="Y176" s="48"/>
      <x:c r="Z176" s="48"/>
    </x:row>
    <x:row r="177">
      <x:c r="A177" s="48"/>
      <x:c r="B177" s="48"/>
      <x:c r="C177" s="48"/>
      <x:c r="D177" s="48"/>
      <x:c r="E177" s="48"/>
      <x:c r="F177" s="48"/>
      <x:c r="G177" s="48"/>
      <x:c r="H177" s="48"/>
      <x:c r="I177" s="48"/>
      <x:c r="J177" s="48"/>
      <x:c r="K177" s="48"/>
      <x:c r="L177" s="48"/>
      <x:c r="M177" s="48"/>
      <x:c r="N177" s="48"/>
      <x:c r="O177" s="48"/>
      <x:c r="P177" s="48"/>
      <x:c r="Q177" s="48"/>
      <x:c r="R177" s="48"/>
      <x:c r="S177" s="48"/>
      <x:c r="T177" s="48"/>
      <x:c r="U177" s="48"/>
      <x:c r="V177" s="48"/>
      <x:c r="W177" s="48"/>
      <x:c r="X177" s="48"/>
      <x:c r="Y177" s="48"/>
      <x:c r="Z177" s="48"/>
    </x:row>
    <x:row r="178">
      <x:c r="A178" s="48"/>
      <x:c r="B178" s="48"/>
      <x:c r="C178" s="48"/>
      <x:c r="D178" s="48"/>
      <x:c r="E178" s="48"/>
      <x:c r="F178" s="48"/>
      <x:c r="G178" s="48"/>
      <x:c r="H178" s="48"/>
      <x:c r="I178" s="48"/>
      <x:c r="J178" s="48"/>
      <x:c r="K178" s="48"/>
      <x:c r="L178" s="48"/>
      <x:c r="M178" s="48"/>
      <x:c r="N178" s="48"/>
      <x:c r="O178" s="48"/>
      <x:c r="P178" s="48"/>
      <x:c r="Q178" s="48"/>
      <x:c r="R178" s="48"/>
      <x:c r="S178" s="48"/>
      <x:c r="T178" s="48"/>
      <x:c r="U178" s="48"/>
      <x:c r="V178" s="48"/>
      <x:c r="W178" s="48"/>
      <x:c r="X178" s="48"/>
      <x:c r="Y178" s="48"/>
      <x:c r="Z178" s="48"/>
    </x:row>
    <x:row r="179">
      <x:c r="A179" s="48"/>
      <x:c r="B179" s="48"/>
      <x:c r="C179" s="48"/>
      <x:c r="D179" s="48"/>
      <x:c r="E179" s="48"/>
      <x:c r="F179" s="48"/>
      <x:c r="G179" s="48"/>
      <x:c r="H179" s="48"/>
      <x:c r="I179" s="48"/>
      <x:c r="J179" s="48"/>
      <x:c r="K179" s="48"/>
      <x:c r="L179" s="48"/>
      <x:c r="M179" s="48"/>
      <x:c r="N179" s="48"/>
      <x:c r="O179" s="48"/>
      <x:c r="P179" s="48"/>
      <x:c r="Q179" s="48"/>
      <x:c r="R179" s="48"/>
      <x:c r="S179" s="48"/>
      <x:c r="T179" s="48"/>
      <x:c r="U179" s="48"/>
      <x:c r="V179" s="48"/>
      <x:c r="W179" s="48"/>
      <x:c r="X179" s="48"/>
      <x:c r="Y179" s="48"/>
      <x:c r="Z179" s="48"/>
    </x:row>
    <x:row r="180">
      <x:c r="A180" s="48"/>
      <x:c r="B180" s="48"/>
      <x:c r="C180" s="48"/>
      <x:c r="D180" s="48"/>
      <x:c r="E180" s="48"/>
      <x:c r="F180" s="48"/>
      <x:c r="G180" s="48"/>
      <x:c r="H180" s="48"/>
      <x:c r="I180" s="48"/>
      <x:c r="J180" s="48"/>
      <x:c r="K180" s="48"/>
      <x:c r="L180" s="48"/>
      <x:c r="M180" s="48"/>
      <x:c r="N180" s="48"/>
      <x:c r="O180" s="48"/>
      <x:c r="P180" s="48"/>
      <x:c r="Q180" s="48"/>
      <x:c r="R180" s="48"/>
      <x:c r="S180" s="48"/>
      <x:c r="T180" s="48"/>
      <x:c r="U180" s="48"/>
      <x:c r="V180" s="48"/>
      <x:c r="W180" s="48"/>
      <x:c r="X180" s="48"/>
      <x:c r="Y180" s="48"/>
      <x:c r="Z180" s="48"/>
    </x:row>
    <x:row r="181">
      <x:c r="A181" s="48"/>
      <x:c r="B181" s="48"/>
      <x:c r="C181" s="48"/>
      <x:c r="D181" s="48"/>
      <x:c r="E181" s="48"/>
      <x:c r="F181" s="48"/>
      <x:c r="G181" s="48"/>
      <x:c r="H181" s="48"/>
      <x:c r="I181" s="48"/>
      <x:c r="J181" s="48"/>
      <x:c r="K181" s="48"/>
      <x:c r="L181" s="48"/>
      <x:c r="M181" s="48"/>
      <x:c r="N181" s="48"/>
      <x:c r="O181" s="48"/>
      <x:c r="P181" s="48"/>
      <x:c r="Q181" s="48"/>
      <x:c r="R181" s="48"/>
      <x:c r="S181" s="48"/>
      <x:c r="T181" s="48"/>
      <x:c r="U181" s="48"/>
      <x:c r="V181" s="48"/>
      <x:c r="W181" s="48"/>
      <x:c r="X181" s="48"/>
      <x:c r="Y181" s="48"/>
      <x:c r="Z181" s="48"/>
    </x:row>
    <x:row r="182">
      <x:c r="A182" s="48"/>
      <x:c r="B182" s="48"/>
      <x:c r="C182" s="48"/>
      <x:c r="D182" s="48"/>
      <x:c r="E182" s="48"/>
      <x:c r="F182" s="48"/>
      <x:c r="G182" s="48"/>
      <x:c r="H182" s="48"/>
      <x:c r="I182" s="48"/>
      <x:c r="J182" s="48"/>
      <x:c r="K182" s="48"/>
      <x:c r="L182" s="48"/>
      <x:c r="M182" s="48"/>
      <x:c r="N182" s="48"/>
      <x:c r="O182" s="48"/>
      <x:c r="P182" s="48"/>
      <x:c r="Q182" s="48"/>
      <x:c r="R182" s="48"/>
      <x:c r="S182" s="48"/>
      <x:c r="T182" s="48"/>
      <x:c r="U182" s="48"/>
      <x:c r="V182" s="48"/>
      <x:c r="W182" s="48"/>
      <x:c r="X182" s="48"/>
      <x:c r="Y182" s="48"/>
      <x:c r="Z182" s="48"/>
    </x:row>
    <x:row r="183">
      <x:c r="A183" s="48"/>
      <x:c r="B183" s="48"/>
      <x:c r="C183" s="48"/>
      <x:c r="D183" s="48"/>
      <x:c r="E183" s="48"/>
      <x:c r="F183" s="48"/>
      <x:c r="G183" s="48"/>
      <x:c r="H183" s="48"/>
      <x:c r="I183" s="48"/>
      <x:c r="J183" s="48"/>
      <x:c r="K183" s="48"/>
      <x:c r="L183" s="48"/>
      <x:c r="M183" s="48"/>
      <x:c r="N183" s="48"/>
      <x:c r="O183" s="48"/>
      <x:c r="P183" s="48"/>
      <x:c r="Q183" s="48"/>
      <x:c r="R183" s="48"/>
      <x:c r="S183" s="48"/>
      <x:c r="T183" s="48"/>
      <x:c r="U183" s="48"/>
      <x:c r="V183" s="48"/>
      <x:c r="W183" s="48"/>
      <x:c r="X183" s="48"/>
      <x:c r="Y183" s="48"/>
      <x:c r="Z183" s="48"/>
    </x:row>
    <x:row r="184">
      <x:c r="A184" s="48"/>
      <x:c r="B184" s="48"/>
      <x:c r="C184" s="48"/>
      <x:c r="D184" s="48"/>
      <x:c r="E184" s="48"/>
      <x:c r="F184" s="48"/>
      <x:c r="G184" s="48"/>
      <x:c r="H184" s="48"/>
      <x:c r="I184" s="48"/>
      <x:c r="J184" s="48"/>
      <x:c r="K184" s="48"/>
      <x:c r="L184" s="48"/>
      <x:c r="M184" s="48"/>
      <x:c r="N184" s="48"/>
      <x:c r="O184" s="48"/>
      <x:c r="P184" s="48"/>
      <x:c r="Q184" s="48"/>
      <x:c r="R184" s="48"/>
      <x:c r="S184" s="48"/>
      <x:c r="T184" s="48"/>
      <x:c r="U184" s="48"/>
      <x:c r="V184" s="48"/>
      <x:c r="W184" s="48"/>
      <x:c r="X184" s="48"/>
      <x:c r="Y184" s="48"/>
      <x:c r="Z184" s="48"/>
    </x:row>
    <x:row r="185">
      <x:c r="A185" s="48"/>
      <x:c r="B185" s="48"/>
      <x:c r="C185" s="48"/>
      <x:c r="D185" s="48"/>
      <x:c r="E185" s="48"/>
      <x:c r="F185" s="48"/>
      <x:c r="G185" s="48"/>
      <x:c r="H185" s="48"/>
      <x:c r="I185" s="48"/>
      <x:c r="J185" s="48"/>
      <x:c r="K185" s="48"/>
      <x:c r="L185" s="48"/>
      <x:c r="M185" s="48"/>
      <x:c r="N185" s="48"/>
      <x:c r="O185" s="48"/>
      <x:c r="P185" s="48"/>
      <x:c r="Q185" s="48"/>
      <x:c r="R185" s="48"/>
      <x:c r="S185" s="48"/>
      <x:c r="T185" s="48"/>
      <x:c r="U185" s="48"/>
      <x:c r="V185" s="48"/>
      <x:c r="W185" s="48"/>
      <x:c r="X185" s="48"/>
      <x:c r="Y185" s="48"/>
      <x:c r="Z185" s="48"/>
    </x:row>
    <x:row r="186">
      <x:c r="A186" s="48"/>
      <x:c r="B186" s="48"/>
      <x:c r="C186" s="48"/>
      <x:c r="D186" s="48"/>
      <x:c r="E186" s="48"/>
      <x:c r="F186" s="48"/>
      <x:c r="G186" s="48"/>
      <x:c r="H186" s="48"/>
      <x:c r="I186" s="48"/>
      <x:c r="J186" s="48"/>
      <x:c r="K186" s="48"/>
      <x:c r="L186" s="48"/>
      <x:c r="M186" s="48"/>
      <x:c r="N186" s="48"/>
      <x:c r="O186" s="48"/>
      <x:c r="P186" s="48"/>
      <x:c r="Q186" s="48"/>
      <x:c r="R186" s="48"/>
      <x:c r="S186" s="48"/>
      <x:c r="T186" s="48"/>
      <x:c r="U186" s="48"/>
      <x:c r="V186" s="48"/>
      <x:c r="W186" s="48"/>
      <x:c r="X186" s="48"/>
      <x:c r="Y186" s="48"/>
      <x:c r="Z186" s="48"/>
    </x:row>
    <x:row r="187">
      <x:c r="A187" s="48"/>
      <x:c r="B187" s="48"/>
      <x:c r="C187" s="48"/>
      <x:c r="D187" s="48"/>
      <x:c r="E187" s="48"/>
      <x:c r="F187" s="48"/>
      <x:c r="G187" s="48"/>
      <x:c r="H187" s="48"/>
      <x:c r="I187" s="48"/>
      <x:c r="J187" s="48"/>
      <x:c r="K187" s="48"/>
      <x:c r="L187" s="48"/>
      <x:c r="M187" s="48"/>
      <x:c r="N187" s="48"/>
      <x:c r="O187" s="48"/>
      <x:c r="P187" s="48"/>
      <x:c r="Q187" s="48"/>
      <x:c r="R187" s="48"/>
      <x:c r="S187" s="48"/>
      <x:c r="T187" s="48"/>
      <x:c r="U187" s="48"/>
      <x:c r="V187" s="48"/>
      <x:c r="W187" s="48"/>
      <x:c r="X187" s="48"/>
      <x:c r="Y187" s="48"/>
      <x:c r="Z187" s="48"/>
    </x:row>
    <x:row r="188">
      <x:c r="A188" s="48"/>
      <x:c r="B188" s="48"/>
      <x:c r="C188" s="48"/>
      <x:c r="D188" s="48"/>
      <x:c r="E188" s="48"/>
      <x:c r="F188" s="48"/>
      <x:c r="G188" s="48"/>
      <x:c r="H188" s="48"/>
      <x:c r="I188" s="48"/>
      <x:c r="J188" s="48"/>
      <x:c r="K188" s="48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  <x:c r="W188" s="48"/>
      <x:c r="X188" s="48"/>
      <x:c r="Y188" s="48"/>
      <x:c r="Z188" s="48"/>
    </x:row>
    <x:row r="189">
      <x:c r="A189" s="48"/>
      <x:c r="B189" s="48"/>
      <x:c r="C189" s="48"/>
      <x:c r="D189" s="48"/>
      <x:c r="E189" s="48"/>
      <x:c r="F189" s="48"/>
      <x:c r="G189" s="48"/>
      <x:c r="H189" s="48"/>
      <x:c r="I189" s="48"/>
      <x:c r="J189" s="48"/>
      <x:c r="K189" s="48"/>
      <x:c r="L189" s="48"/>
      <x:c r="M189" s="48"/>
      <x:c r="N189" s="48"/>
      <x:c r="O189" s="48"/>
      <x:c r="P189" s="48"/>
      <x:c r="Q189" s="48"/>
      <x:c r="R189" s="48"/>
      <x:c r="S189" s="48"/>
      <x:c r="T189" s="48"/>
      <x:c r="U189" s="48"/>
      <x:c r="V189" s="48"/>
      <x:c r="W189" s="48"/>
      <x:c r="X189" s="48"/>
      <x:c r="Y189" s="48"/>
      <x:c r="Z189" s="48"/>
    </x:row>
    <x:row r="190">
      <x:c r="A190" s="48"/>
      <x:c r="B190" s="48"/>
      <x:c r="C190" s="48"/>
      <x:c r="D190" s="48"/>
      <x:c r="E190" s="48"/>
      <x:c r="F190" s="48"/>
      <x:c r="G190" s="48"/>
      <x:c r="H190" s="48"/>
      <x:c r="I190" s="48"/>
      <x:c r="J190" s="48"/>
      <x:c r="K190" s="48"/>
      <x:c r="L190" s="48"/>
      <x:c r="M190" s="48"/>
      <x:c r="N190" s="48"/>
      <x:c r="O190" s="48"/>
      <x:c r="P190" s="48"/>
      <x:c r="Q190" s="48"/>
      <x:c r="R190" s="48"/>
      <x:c r="S190" s="48"/>
      <x:c r="T190" s="48"/>
      <x:c r="U190" s="48"/>
      <x:c r="V190" s="48"/>
      <x:c r="W190" s="48"/>
      <x:c r="X190" s="48"/>
      <x:c r="Y190" s="48"/>
      <x:c r="Z190" s="48"/>
    </x:row>
    <x:row r="191">
      <x:c r="A191" s="48"/>
      <x:c r="B191" s="48"/>
      <x:c r="C191" s="48"/>
      <x:c r="D191" s="48"/>
      <x:c r="E191" s="48"/>
      <x:c r="F191" s="48"/>
      <x:c r="G191" s="48"/>
      <x:c r="H191" s="48"/>
      <x:c r="I191" s="48"/>
      <x:c r="J191" s="48"/>
      <x:c r="K191" s="48"/>
      <x:c r="L191" s="48"/>
      <x:c r="M191" s="48"/>
      <x:c r="N191" s="48"/>
      <x:c r="O191" s="48"/>
      <x:c r="P191" s="48"/>
      <x:c r="Q191" s="48"/>
      <x:c r="R191" s="48"/>
      <x:c r="S191" s="48"/>
      <x:c r="T191" s="48"/>
      <x:c r="U191" s="48"/>
      <x:c r="V191" s="48"/>
      <x:c r="W191" s="48"/>
      <x:c r="X191" s="48"/>
      <x:c r="Y191" s="48"/>
      <x:c r="Z191" s="48"/>
    </x:row>
    <x:row r="192">
      <x:c r="A192" s="48"/>
      <x:c r="B192" s="48"/>
      <x:c r="C192" s="48"/>
      <x:c r="D192" s="48"/>
      <x:c r="E192" s="48"/>
      <x:c r="F192" s="48"/>
      <x:c r="G192" s="48"/>
      <x:c r="H192" s="48"/>
      <x:c r="I192" s="48"/>
      <x:c r="J192" s="48"/>
      <x:c r="K192" s="48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  <x:c r="W192" s="48"/>
      <x:c r="X192" s="48"/>
      <x:c r="Y192" s="48"/>
      <x:c r="Z192" s="48"/>
    </x:row>
    <x:row r="193">
      <x:c r="A193" s="48"/>
      <x:c r="B193" s="48"/>
      <x:c r="C193" s="48"/>
      <x:c r="D193" s="48"/>
      <x:c r="E193" s="48"/>
      <x:c r="F193" s="48"/>
      <x:c r="G193" s="48"/>
      <x:c r="H193" s="48"/>
      <x:c r="I193" s="48"/>
      <x:c r="J193" s="48"/>
      <x:c r="K193" s="48"/>
      <x:c r="L193" s="48"/>
      <x:c r="M193" s="48"/>
      <x:c r="N193" s="48"/>
      <x:c r="O193" s="48"/>
      <x:c r="P193" s="48"/>
      <x:c r="Q193" s="48"/>
      <x:c r="R193" s="48"/>
      <x:c r="S193" s="48"/>
      <x:c r="T193" s="48"/>
      <x:c r="U193" s="48"/>
      <x:c r="V193" s="48"/>
      <x:c r="W193" s="48"/>
      <x:c r="X193" s="48"/>
      <x:c r="Y193" s="48"/>
      <x:c r="Z193" s="48"/>
    </x:row>
    <x:row r="194">
      <x:c r="A194" s="48"/>
      <x:c r="B194" s="48"/>
      <x:c r="C194" s="48"/>
      <x:c r="D194" s="48"/>
      <x:c r="E194" s="48"/>
      <x:c r="F194" s="48"/>
      <x:c r="G194" s="48"/>
      <x:c r="H194" s="48"/>
      <x:c r="I194" s="48"/>
      <x:c r="J194" s="48"/>
      <x:c r="K194" s="48"/>
      <x:c r="L194" s="48"/>
      <x:c r="M194" s="48"/>
      <x:c r="N194" s="48"/>
      <x:c r="O194" s="48"/>
      <x:c r="P194" s="48"/>
      <x:c r="Q194" s="48"/>
      <x:c r="R194" s="48"/>
      <x:c r="S194" s="48"/>
      <x:c r="T194" s="48"/>
      <x:c r="U194" s="48"/>
      <x:c r="V194" s="48"/>
      <x:c r="W194" s="48"/>
      <x:c r="X194" s="48"/>
      <x:c r="Y194" s="48"/>
      <x:c r="Z194" s="48"/>
    </x:row>
    <x:row r="195">
      <x:c r="A195" s="48"/>
      <x:c r="B195" s="48"/>
      <x:c r="C195" s="48"/>
      <x:c r="D195" s="48"/>
      <x:c r="E195" s="48"/>
      <x:c r="F195" s="48"/>
      <x:c r="G195" s="48"/>
      <x:c r="H195" s="48"/>
      <x:c r="I195" s="48"/>
      <x:c r="J195" s="48"/>
      <x:c r="K195" s="48"/>
      <x:c r="L195" s="48"/>
      <x:c r="M195" s="48"/>
      <x:c r="N195" s="48"/>
      <x:c r="O195" s="48"/>
      <x:c r="P195" s="48"/>
      <x:c r="Q195" s="48"/>
      <x:c r="R195" s="48"/>
      <x:c r="S195" s="48"/>
      <x:c r="T195" s="48"/>
      <x:c r="U195" s="48"/>
      <x:c r="V195" s="48"/>
      <x:c r="W195" s="48"/>
      <x:c r="X195" s="48"/>
      <x:c r="Y195" s="48"/>
      <x:c r="Z195" s="48"/>
    </x:row>
    <x:row r="196">
      <x:c r="A196" s="48"/>
      <x:c r="B196" s="48"/>
      <x:c r="C196" s="48"/>
      <x:c r="D196" s="48"/>
      <x:c r="E196" s="48"/>
      <x:c r="F196" s="48"/>
      <x:c r="G196" s="48"/>
      <x:c r="H196" s="48"/>
      <x:c r="I196" s="48"/>
      <x:c r="J196" s="48"/>
      <x:c r="K196" s="48"/>
      <x:c r="L196" s="48"/>
      <x:c r="M196" s="48"/>
      <x:c r="N196" s="48"/>
      <x:c r="O196" s="48"/>
      <x:c r="P196" s="48"/>
      <x:c r="Q196" s="48"/>
      <x:c r="R196" s="48"/>
      <x:c r="S196" s="48"/>
      <x:c r="T196" s="48"/>
      <x:c r="U196" s="48"/>
      <x:c r="V196" s="48"/>
      <x:c r="W196" s="48"/>
      <x:c r="X196" s="48"/>
      <x:c r="Y196" s="48"/>
      <x:c r="Z196" s="48"/>
    </x:row>
    <x:row r="197">
      <x:c r="A197" s="48"/>
      <x:c r="B197" s="48"/>
      <x:c r="C197" s="48"/>
      <x:c r="D197" s="48"/>
      <x:c r="E197" s="48"/>
      <x:c r="F197" s="48"/>
      <x:c r="G197" s="48"/>
      <x:c r="H197" s="48"/>
      <x:c r="I197" s="48"/>
      <x:c r="J197" s="48"/>
      <x:c r="K197" s="48"/>
      <x:c r="L197" s="48"/>
      <x:c r="M197" s="48"/>
      <x:c r="N197" s="48"/>
      <x:c r="O197" s="48"/>
      <x:c r="P197" s="48"/>
      <x:c r="Q197" s="48"/>
      <x:c r="R197" s="48"/>
      <x:c r="S197" s="48"/>
      <x:c r="T197" s="48"/>
      <x:c r="U197" s="48"/>
      <x:c r="V197" s="48"/>
      <x:c r="W197" s="48"/>
      <x:c r="X197" s="48"/>
      <x:c r="Y197" s="48"/>
      <x:c r="Z197" s="48"/>
    </x:row>
    <x:row r="198">
      <x:c r="A198" s="48"/>
      <x:c r="B198" s="48"/>
      <x:c r="C198" s="48"/>
      <x:c r="D198" s="48"/>
      <x:c r="E198" s="48"/>
      <x:c r="F198" s="48"/>
      <x:c r="G198" s="48"/>
      <x:c r="H198" s="48"/>
      <x:c r="I198" s="48"/>
      <x:c r="J198" s="48"/>
      <x:c r="K198" s="48"/>
      <x:c r="L198" s="48"/>
      <x:c r="M198" s="48"/>
      <x:c r="N198" s="48"/>
      <x:c r="O198" s="48"/>
      <x:c r="P198" s="48"/>
      <x:c r="Q198" s="48"/>
      <x:c r="R198" s="48"/>
      <x:c r="S198" s="48"/>
      <x:c r="T198" s="48"/>
      <x:c r="U198" s="48"/>
      <x:c r="V198" s="48"/>
      <x:c r="W198" s="48"/>
      <x:c r="X198" s="48"/>
      <x:c r="Y198" s="48"/>
      <x:c r="Z198" s="48"/>
    </x:row>
    <x:row r="199">
      <x:c r="A199" s="48"/>
      <x:c r="B199" s="48"/>
      <x:c r="C199" s="48"/>
      <x:c r="D199" s="48"/>
      <x:c r="E199" s="48"/>
      <x:c r="F199" s="48"/>
      <x:c r="G199" s="48"/>
      <x:c r="H199" s="48"/>
      <x:c r="I199" s="48"/>
      <x:c r="J199" s="48"/>
      <x:c r="K199" s="48"/>
      <x:c r="L199" s="48"/>
      <x:c r="M199" s="48"/>
      <x:c r="N199" s="48"/>
      <x:c r="O199" s="48"/>
      <x:c r="P199" s="48"/>
      <x:c r="Q199" s="48"/>
      <x:c r="R199" s="48"/>
      <x:c r="S199" s="48"/>
      <x:c r="T199" s="48"/>
      <x:c r="U199" s="48"/>
      <x:c r="V199" s="48"/>
      <x:c r="W199" s="48"/>
      <x:c r="X199" s="48"/>
      <x:c r="Y199" s="48"/>
      <x:c r="Z199" s="48"/>
    </x:row>
    <x:row r="200">
      <x:c r="A200" s="48"/>
      <x:c r="B200" s="48"/>
      <x:c r="C200" s="48"/>
      <x:c r="D200" s="48"/>
      <x:c r="E200" s="48"/>
      <x:c r="F200" s="48"/>
      <x:c r="G200" s="48"/>
      <x:c r="H200" s="48"/>
      <x:c r="I200" s="48"/>
      <x:c r="J200" s="48"/>
      <x:c r="K200" s="48"/>
      <x:c r="L200" s="48"/>
      <x:c r="M200" s="48"/>
      <x:c r="N200" s="48"/>
      <x:c r="O200" s="48"/>
      <x:c r="P200" s="48"/>
      <x:c r="Q200" s="48"/>
      <x:c r="R200" s="48"/>
      <x:c r="S200" s="48"/>
      <x:c r="T200" s="48"/>
      <x:c r="U200" s="48"/>
      <x:c r="V200" s="48"/>
      <x:c r="W200" s="48"/>
      <x:c r="X200" s="48"/>
      <x:c r="Y200" s="48"/>
      <x:c r="Z200" s="48"/>
    </x:row>
  </x:sheetData>
  <x:conditionalFormatting sqref="K2:K100">
    <x:cfRule type="expression" dxfId="2" priority="1">
      <x:formula>K2="PASS"</x:formula>
    </x:cfRule>
    <x:cfRule type="expression" dxfId="3" priority="2">
      <x:formula>K2="FAIL"</x:formula>
    </x:cfRule>
  </x:conditionalFormatting>
  <x:dataValidations count="1">
    <x:dataValidation type="list" sqref="K2:K100">
      <x:formula1>"NOT_RUN,PASS,FAIL,REVIEW"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740f8d0f504b8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18" hidden="0" customWidth="1"/>
    <x:col min="4" max="4" width="26" hidden="0" customWidth="1"/>
    <x:col min="5" max="5" width="20" hidden="0" customWidth="1"/>
    <x:col min="6" max="6" width="28" hidden="0" customWidth="1"/>
    <x:col min="7" max="7" width="28" hidden="0" customWidth="1"/>
    <x:col min="8" max="8" width="52" hidden="0" customWidth="1"/>
    <x:col min="9" max="9" width="42" hidden="0" customWidth="1"/>
  </x:cols>
  <x:sheetData>
    <x:row r="1">
      <x:c r="A1" s="8" t="str">
        <x:v>date</x:v>
      </x:c>
      <x:c r="B1" s="8" t="str">
        <x:v>version</x:v>
      </x:c>
      <x:c r="C1" s="8" t="str">
        <x:v>scope</x:v>
      </x:c>
      <x:c r="D1" s="8" t="str">
        <x:v>item</x:v>
      </x:c>
      <x:c r="E1" s="8" t="str">
        <x:v>field</x:v>
      </x:c>
      <x:c r="F1" s="8" t="str">
        <x:v>before</x:v>
      </x:c>
      <x:c r="G1" s="8" t="str">
        <x:v>after</x:v>
      </x:c>
      <x:c r="H1" s="8" t="str">
        <x:v>reason</x:v>
      </x:c>
      <x:c r="I1" s="8" t="str">
        <x:v>source</x:v>
      </x:c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62" t="n">
        <x:v>46269</x:v>
      </x:c>
      <x:c r="B2" s="48" t="str">
        <x:v>product_db_v1.0</x:v>
      </x:c>
      <x:c r="C2" s="48" t="str">
        <x:v>Product DB</x:v>
      </x:c>
      <x:c r="D2" s="48" t="str">
        <x:v>Initial build</x:v>
      </x:c>
      <x:c r="E2" s="48" t="str">
        <x:v>Workbook</x:v>
      </x:c>
      <x:c r="F2" s="48" t="str">
        <x:v>-</x:v>
      </x:c>
      <x:c r="G2" s="48" t="str">
        <x:v>35 normalized KR products</x:v>
      </x:c>
      <x:c r="H2" s="48" t="str">
        <x:v>29 single-model KRW rows + 6 priority splits from multi-model rows</x:v>
      </x:c>
      <x:c r="I2" s="48" t="str">
        <x:v>러닝화_DB_ver2.0.xlsx</x:v>
      </x:c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62" t="n">
        <x:v>46269</x:v>
      </x:c>
      <x:c r="B3" s="48" t="str">
        <x:v>product_norm_v1.0</x:v>
      </x:c>
      <x:c r="C3" s="48" t="str">
        <x:v>Calibration</x:v>
      </x:c>
      <x:c r="D3" s="48" t="str">
        <x:v>10-model calibration</x:v>
      </x:c>
      <x:c r="E3" s="48" t="str">
        <x:v>P0 attributes</x:v>
      </x:c>
      <x:c r="F3" s="48" t="str">
        <x:v>blank</x:v>
      </x:c>
      <x:c r="G3" s="48" t="str">
        <x:v>8 scores x 10 products</x:v>
      </x:c>
      <x:c r="H3" s="48" t="str">
        <x:v>Start with a cross-role calibration set before scoring all products</x:v>
      </x:c>
      <x:c r="I3" s="48" t="str">
        <x:v>RunRepeat + official product sources</x:v>
      </x:c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>
      <x:c r="A4" s="62" t="n">
        <x:v>46269</x:v>
      </x:c>
      <x:c r="B4" s="48" t="str">
        <x:v>gear_reco_v1.0</x:v>
      </x:c>
      <x:c r="C4" s="48" t="str">
        <x:v>Recommendation</x:v>
      </x:c>
      <x:c r="D4" s="48" t="str">
        <x:v>Initial config</x:v>
      </x:c>
      <x:c r="E4" s="48" t="str">
        <x:v>Weights</x:v>
      </x:c>
      <x:c r="F4" s="48" t="str">
        <x:v>-</x:v>
      </x:c>
      <x:c r="G4" s="48" t="str">
        <x:v>Need/Priority/Direction/Penalty config</x:v>
      </x:c>
      <x:c r="H4" s="48" t="str">
        <x:v>Implement deterministic recommendation engine v1.0</x:v>
      </x:c>
      <x:c r="I4" s="48" t="str">
        <x:v>10_GearMatch_AI_러닝화_DB_및_Recommendation_Rulebook_v1.0.md</x:v>
      </x:c>
      <x:c r="J4" s="48"/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>
      <x:c r="A5" s="62" t="n">
        <x:v>46269</x:v>
      </x:c>
      <x:c r="B5" s="48" t="str">
        <x:v>product_db_v1.1</x:v>
      </x:c>
      <x:c r="C5" s="48" t="str">
        <x:v>Product DB</x:v>
      </x:c>
      <x:c r="D5" s="48" t="str">
        <x:v>Price normalization</x:v>
      </x:c>
      <x:c r="E5" s="48" t="str">
        <x:v>official_msrp_krw</x:v>
      </x:c>
      <x:c r="F5" s="48" t="str">
        <x:v>세일가/범위/부터 가격 혼재</x:v>
      </x:c>
      <x:c r="G5" s="48" t="str">
        <x:v>KR 공식 정가 숫자값으로 통일</x:v>
      </x:c>
      <x:c r="H5" s="48" t="str">
        <x:v>Recommendation/비교용 가격 기준을 하나로 고정. 할인가는 Recommendation Score에서 제외.</x:v>
      </x:c>
      <x:c r="I5" s="48" t="str">
        <x:v>러닝화_DB_ver2.0.xlsx / 기존 Product Master</x:v>
      </x:c>
      <x:c r="J5" s="48"/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>
      <x:c r="A6" s="62" t="n">
        <x:v>46269</x:v>
      </x:c>
      <x:c r="B6" s="48" t="str">
        <x:v>product_db_v1.2</x:v>
      </x:c>
      <x:c r="C6" s="48" t="str">
        <x:v>Product DB</x:v>
      </x:c>
      <x:c r="D6" s="48" t="str">
        <x:v>Range price policy</x:v>
      </x:c>
      <x:c r="E6" s="48" t="str">
        <x:v>official_msrp_krw</x:v>
      </x:c>
      <x:c r="F6" s="48" t="str">
        <x:v>가격 범위의 하한/기준가 사용</x:v>
      </x:c>
      <x:c r="G6" s="48" t="str">
        <x:v>명시적 범위는 최대값으로 통일</x:v>
      </x:c>
      <x:c r="H6" s="48" t="str">
        <x:v>사용자 요청에 따라 A~B 가격 표기는 최대값 B를 Recommendation DB 기준 가격으로 적용.</x:v>
      </x:c>
      <x:c r="I6" s="48" t="str">
        <x:v>01_Product_Master source_price_raw</x:v>
      </x:c>
      <x:c r="J6" s="48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>
      <x:c r="A7" s="62" t="n">
        <x:v>46269</x:v>
      </x:c>
      <x:c r="B7" s="48" t="str">
        <x:v>product_db_v1.3</x:v>
      </x:c>
      <x:c r="C7" s="48" t="str">
        <x:v>Product DB</x:v>
      </x:c>
      <x:c r="D7" s="48" t="str">
        <x:v>Numeric-only price fields</x:v>
      </x:c>
      <x:c r="E7" s="48" t="str">
        <x:v>price columns</x:v>
      </x:c>
      <x:c r="F7" s="48" t="str">
        <x:v>숫자 + 원/범위/세일가 원문 혼재</x:v>
      </x:c>
      <x:c r="G7" s="48" t="str">
        <x:v>가격 관련 셀을 순수 숫자형 KRW로 통일</x:v>
      </x:c>
      <x:c r="H7" s="48" t="str">
        <x:v>DB/API/추천 로직에서 가격을 바로 숫자로 처리할 수 있도록 문자열 가격 표현 제거.</x:v>
      </x:c>
      <x:c r="I7" s="48" t="str">
        <x:v>01_Product_Master</x:v>
      </x:c>
      <x:c r="J7" s="48"/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>
      <x:c r="A8" s="62" t="n">
        <x:v>46269</x:v>
      </x:c>
      <x:c r="B8" s="48" t="str">
        <x:v>product_db_v1.4</x:v>
      </x:c>
      <x:c r="C8" s="48" t="str">
        <x:v>Product DB + Calibration</x:v>
      </x:c>
      <x:c r="D8" s="48" t="str">
        <x:v>Web review cross-audit</x:v>
      </x:c>
      <x:c r="E8" s="48" t="str">
        <x:v>primary_use / plate_type / calibration scores</x:v>
      </x:c>
      <x:c r="F8" s="48" t="str">
        <x:v>초기 DB 및 10개 calibration</x:v>
      </x:c>
      <x:c r="G8" s="48" t="str">
        <x:v>35개 제품 후기 교차검증 및 명확한 오류 수정</x:v>
      </x:c>
      <x:c r="H8" s="48" t="str">
        <x:v>RunRepeat, Doctors of Running, Believe in the Run, Running Shoes Guru 등 독립 리뷰 비교. 충돌은 별도 플래그 처리.</x:v>
      </x:c>
      <x:c r="I8" s="48" t="str">
        <x:v>08_Web_Review_Audit</x:v>
      </x:c>
      <x:c r="J8" s="48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>
      <x:c r="A9" s="62" t="n">
        <x:v>46269</x:v>
      </x:c>
      <x:c r="B9" s="48" t="str">
        <x:v>product_db_v1.5</x:v>
      </x:c>
      <x:c r="C9" s="48" t="str">
        <x:v>Recommendation DB</x:v>
      </x:c>
      <x:c r="D9" s="48" t="str">
        <x:v>Critical logic review rebuild</x:v>
      </x:c>
      <x:c r="E9" s="48" t="str">
        <x:v>Product role / Score / Weight / Direction filter / Delta / Audit conflict</x:v>
      </x:c>
      <x:c r="F9" s="48" t="str">
        <x:v>product_db_v1.4 + gear_reco_v1.0</x:v>
      </x:c>
      <x:c r="G9" s="48" t="str">
        <x:v>product_db_v1.5 + gear_reco_v1.1</x:v>
      </x:c>
      <x:c r="H9" s="48" t="str">
        <x:v>실제 MVP 오추천 위험을 줄이기 위해 10개 Calibration 재보정, Direction 후보 Role 제한, Current Shoe Transition 강화, Race specialization 정의 분리 및 Review Conflict 추가.</x:v>
      </x:c>
      <x:c r="I9" s="48" t="str">
        <x:v>DB critical review 2026-09-04</x:v>
      </x:c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>
      <x:c r="A10" s="62"/>
      <x:c r="B10" s="48"/>
      <x:c r="C10" s="48"/>
      <x:c r="D10" s="48"/>
      <x:c r="E10" s="48"/>
      <x:c r="F10" s="48"/>
      <x:c r="G10" s="48"/>
      <x:c r="H10" s="48"/>
      <x:c r="I10" s="48"/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>
      <x:c r="A11" s="62"/>
      <x:c r="B11" s="48"/>
      <x:c r="C11" s="48"/>
      <x:c r="D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>
      <x:c r="A12" s="62"/>
      <x:c r="B12" s="48"/>
      <x:c r="C12" s="48"/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>
      <x:c r="A13" s="62"/>
      <x:c r="B13" s="48"/>
      <x:c r="C13" s="48"/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>
      <x:c r="A14" s="62"/>
      <x:c r="B14" s="48"/>
      <x:c r="C14" s="48"/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62"/>
      <x:c r="B15" s="48"/>
      <x:c r="C15" s="48"/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62"/>
      <x:c r="B16" s="48"/>
      <x:c r="C16" s="48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62"/>
      <x:c r="B17" s="48"/>
      <x:c r="C17" s="48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62"/>
      <x:c r="B18" s="48"/>
      <x:c r="C18" s="48"/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62"/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62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62"/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62"/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62"/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62"/>
      <x:c r="B24" s="48"/>
      <x:c r="C24" s="48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62"/>
      <x:c r="B25" s="48"/>
      <x:c r="C25" s="48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62"/>
      <x:c r="B26" s="48"/>
      <x:c r="C26" s="48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62"/>
      <x:c r="B27" s="48"/>
      <x:c r="C27" s="48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62"/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62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62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62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62"/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62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62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62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62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62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62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62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62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62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62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62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62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62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62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62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62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62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62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62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62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62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62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62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62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62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62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62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62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62"/>
      <x:c r="B61" s="48"/>
      <x:c r="C61" s="48"/>
      <x:c r="D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62"/>
      <x:c r="B62" s="48"/>
      <x:c r="C62" s="48"/>
      <x:c r="D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62"/>
      <x:c r="B63" s="48"/>
      <x:c r="C63" s="48"/>
      <x:c r="D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62"/>
      <x:c r="B64" s="48"/>
      <x:c r="C64" s="48"/>
      <x:c r="D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62"/>
      <x:c r="B65" s="48"/>
      <x:c r="C65" s="48"/>
      <x:c r="D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62"/>
      <x:c r="B66" s="48"/>
      <x:c r="C66" s="48"/>
      <x:c r="D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62"/>
      <x:c r="B67" s="48"/>
      <x:c r="C67" s="48"/>
      <x:c r="D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62"/>
      <x:c r="B68" s="48"/>
      <x:c r="C68" s="48"/>
      <x:c r="D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62"/>
      <x:c r="B69" s="48"/>
      <x:c r="C69" s="48"/>
      <x:c r="D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62"/>
      <x:c r="B70" s="48"/>
      <x:c r="C70" s="48"/>
      <x:c r="D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62"/>
      <x:c r="B71" s="48"/>
      <x:c r="C71" s="48"/>
      <x:c r="D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62"/>
      <x:c r="B72" s="48"/>
      <x:c r="C72" s="48"/>
      <x:c r="D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62"/>
      <x:c r="B73" s="48"/>
      <x:c r="C73" s="48"/>
      <x:c r="D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62"/>
      <x:c r="B74" s="48"/>
      <x:c r="C74" s="48"/>
      <x:c r="D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62"/>
      <x:c r="B75" s="48"/>
      <x:c r="C75" s="48"/>
      <x:c r="D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62"/>
      <x:c r="B76" s="48"/>
      <x:c r="C76" s="48"/>
      <x:c r="D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62"/>
      <x:c r="B77" s="48"/>
      <x:c r="C77" s="48"/>
      <x:c r="D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62"/>
      <x:c r="B78" s="48"/>
      <x:c r="C78" s="48"/>
      <x:c r="D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62"/>
      <x:c r="B79" s="48"/>
      <x:c r="C79" s="48"/>
      <x:c r="D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62"/>
      <x:c r="B80" s="48"/>
      <x:c r="C80" s="48"/>
      <x:c r="D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62"/>
      <x:c r="B81" s="48"/>
      <x:c r="C81" s="48"/>
      <x:c r="D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62"/>
      <x:c r="B82" s="48"/>
      <x:c r="C82" s="48"/>
      <x:c r="D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62"/>
      <x:c r="B83" s="48"/>
      <x:c r="C83" s="48"/>
      <x:c r="D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62"/>
      <x:c r="B84" s="48"/>
      <x:c r="C84" s="48"/>
      <x:c r="D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62"/>
      <x:c r="B85" s="48"/>
      <x:c r="C85" s="48"/>
      <x:c r="D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62"/>
      <x:c r="B86" s="48"/>
      <x:c r="C86" s="48"/>
      <x:c r="D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62"/>
      <x:c r="B87" s="48"/>
      <x:c r="C87" s="48"/>
      <x:c r="D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62"/>
      <x:c r="B88" s="48"/>
      <x:c r="C88" s="48"/>
      <x:c r="D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62"/>
      <x:c r="B89" s="48"/>
      <x:c r="C89" s="48"/>
      <x:c r="D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62"/>
      <x:c r="B90" s="48"/>
      <x:c r="C90" s="48"/>
      <x:c r="D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62"/>
      <x:c r="B91" s="48"/>
      <x:c r="C91" s="48"/>
      <x:c r="D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62"/>
      <x:c r="B92" s="48"/>
      <x:c r="C92" s="48"/>
      <x:c r="D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62"/>
      <x:c r="B93" s="48"/>
      <x:c r="C93" s="48"/>
      <x:c r="D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62"/>
      <x:c r="B94" s="48"/>
      <x:c r="C94" s="48"/>
      <x:c r="D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62"/>
      <x:c r="B95" s="48"/>
      <x:c r="C95" s="48"/>
      <x:c r="D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62"/>
      <x:c r="B96" s="48"/>
      <x:c r="C96" s="48"/>
      <x:c r="D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62"/>
      <x:c r="B97" s="48"/>
      <x:c r="C97" s="48"/>
      <x:c r="D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62"/>
      <x:c r="B98" s="48"/>
      <x:c r="C98" s="48"/>
      <x:c r="D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62"/>
      <x:c r="B99" s="48"/>
      <x:c r="C99" s="48"/>
      <x:c r="D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62"/>
      <x:c r="B100" s="48"/>
      <x:c r="C100" s="48"/>
      <x:c r="D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48"/>
      <x:c r="B101" s="48"/>
      <x:c r="C101" s="48"/>
      <x:c r="D101" s="48"/>
      <x:c r="E101" s="48"/>
      <x:c r="F101" s="48"/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48"/>
      <x:c r="B102" s="48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48"/>
      <x:c r="B103" s="48"/>
      <x:c r="C103" s="48"/>
      <x:c r="D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48"/>
      <x:c r="B104" s="48"/>
      <x:c r="C104" s="48"/>
      <x:c r="D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48"/>
      <x:c r="B105" s="48"/>
      <x:c r="C105" s="48"/>
      <x:c r="D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48"/>
      <x:c r="B106" s="48"/>
      <x:c r="C106" s="48"/>
      <x:c r="D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48"/>
      <x:c r="B107" s="48"/>
      <x:c r="C107" s="48"/>
      <x:c r="D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48"/>
      <x:c r="B108" s="48"/>
      <x:c r="C108" s="48"/>
      <x:c r="D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48"/>
      <x:c r="B109" s="48"/>
      <x:c r="C109" s="48"/>
      <x:c r="D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48"/>
      <x:c r="B110" s="48"/>
      <x:c r="C110" s="48"/>
      <x:c r="D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48"/>
      <x:c r="B111" s="48"/>
      <x:c r="C111" s="48"/>
      <x:c r="D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48"/>
      <x:c r="B112" s="48"/>
      <x:c r="C112" s="48"/>
      <x:c r="D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48"/>
      <x:c r="B113" s="48"/>
      <x:c r="C113" s="48"/>
      <x:c r="D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48"/>
      <x:c r="B114" s="48"/>
      <x:c r="C114" s="48"/>
      <x:c r="D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48"/>
      <x:c r="B115" s="48"/>
      <x:c r="C115" s="48"/>
      <x:c r="D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48"/>
      <x:c r="B116" s="48"/>
      <x:c r="C116" s="48"/>
      <x:c r="D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48"/>
      <x:c r="B117" s="48"/>
      <x:c r="C117" s="48"/>
      <x:c r="D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48"/>
      <x:c r="B118" s="48"/>
      <x:c r="C118" s="48"/>
      <x:c r="D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48"/>
      <x:c r="B119" s="48"/>
      <x:c r="C119" s="48"/>
      <x:c r="D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48"/>
      <x:c r="B120" s="48"/>
      <x:c r="C120" s="48"/>
      <x:c r="D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  <x:row r="121">
      <x:c r="A121" s="48"/>
      <x:c r="B121" s="48"/>
      <x:c r="C121" s="48"/>
      <x:c r="D121" s="48"/>
      <x:c r="E121" s="48"/>
      <x:c r="F121" s="48"/>
      <x:c r="G121" s="48"/>
      <x:c r="H121" s="48"/>
      <x:c r="I121" s="48"/>
      <x:c r="J121" s="48"/>
      <x:c r="K121" s="48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8"/>
      <x:c r="Z121" s="48"/>
    </x:row>
    <x:row r="122">
      <x:c r="A122" s="48"/>
      <x:c r="B122" s="48"/>
      <x:c r="C122" s="48"/>
      <x:c r="D122" s="48"/>
      <x:c r="E122" s="48"/>
      <x:c r="F122" s="48"/>
      <x:c r="G122" s="48"/>
      <x:c r="H122" s="48"/>
      <x:c r="I122" s="48"/>
      <x:c r="J122" s="48"/>
      <x:c r="K122" s="48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8"/>
      <x:c r="Z122" s="48"/>
    </x:row>
    <x:row r="123">
      <x:c r="A123" s="48"/>
      <x:c r="B123" s="48"/>
      <x:c r="C123" s="48"/>
      <x:c r="D123" s="48"/>
      <x:c r="E123" s="48"/>
      <x:c r="F123" s="48"/>
      <x:c r="G123" s="48"/>
      <x:c r="H123" s="48"/>
      <x:c r="I123" s="48"/>
      <x:c r="J123" s="48"/>
      <x:c r="K123" s="48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8"/>
      <x:c r="Z123" s="48"/>
    </x:row>
    <x:row r="124">
      <x:c r="A124" s="48"/>
      <x:c r="B124" s="48"/>
      <x:c r="C124" s="48"/>
      <x:c r="D124" s="48"/>
      <x:c r="E124" s="48"/>
      <x:c r="F124" s="48"/>
      <x:c r="G124" s="48"/>
      <x:c r="H124" s="48"/>
      <x:c r="I124" s="48"/>
      <x:c r="J124" s="48"/>
      <x:c r="K124" s="48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8"/>
      <x:c r="Z124" s="48"/>
    </x:row>
    <x:row r="125">
      <x:c r="A125" s="48"/>
      <x:c r="B125" s="48"/>
      <x:c r="C125" s="48"/>
      <x:c r="D125" s="48"/>
      <x:c r="E125" s="48"/>
      <x:c r="F125" s="48"/>
      <x:c r="G125" s="48"/>
      <x:c r="H125" s="48"/>
      <x:c r="I125" s="48"/>
      <x:c r="J125" s="48"/>
      <x:c r="K125" s="48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8"/>
      <x:c r="X125" s="48"/>
      <x:c r="Y125" s="48"/>
      <x:c r="Z125" s="48"/>
    </x:row>
    <x:row r="126">
      <x:c r="A126" s="48"/>
      <x:c r="B126" s="48"/>
      <x:c r="C126" s="48"/>
      <x:c r="D126" s="48"/>
      <x:c r="E126" s="48"/>
      <x:c r="F126" s="48"/>
      <x:c r="G126" s="48"/>
      <x:c r="H126" s="48"/>
      <x:c r="I126" s="48"/>
      <x:c r="J126" s="48"/>
      <x:c r="K126" s="48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8"/>
      <x:c r="X126" s="48"/>
      <x:c r="Y126" s="48"/>
      <x:c r="Z126" s="48"/>
    </x:row>
    <x:row r="127">
      <x:c r="A127" s="48"/>
      <x:c r="B127" s="48"/>
      <x:c r="C127" s="48"/>
      <x:c r="D127" s="48"/>
      <x:c r="E127" s="48"/>
      <x:c r="F127" s="48"/>
      <x:c r="G127" s="48"/>
      <x:c r="H127" s="48"/>
      <x:c r="I127" s="48"/>
      <x:c r="J127" s="48"/>
      <x:c r="K127" s="48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8"/>
      <x:c r="X127" s="48"/>
      <x:c r="Y127" s="48"/>
      <x:c r="Z127" s="48"/>
    </x:row>
    <x:row r="128">
      <x:c r="A128" s="48"/>
      <x:c r="B128" s="48"/>
      <x:c r="C128" s="48"/>
      <x:c r="D128" s="48"/>
      <x:c r="E128" s="48"/>
      <x:c r="F128" s="48"/>
      <x:c r="G128" s="48"/>
      <x:c r="H128" s="48"/>
      <x:c r="I128" s="48"/>
      <x:c r="J128" s="48"/>
      <x:c r="K128" s="48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8"/>
      <x:c r="X128" s="48"/>
      <x:c r="Y128" s="48"/>
      <x:c r="Z128" s="48"/>
    </x:row>
    <x:row r="129">
      <x:c r="A129" s="48"/>
      <x:c r="B129" s="48"/>
      <x:c r="C129" s="48"/>
      <x:c r="D129" s="48"/>
      <x:c r="E129" s="48"/>
      <x:c r="F129" s="48"/>
      <x:c r="G129" s="48"/>
      <x:c r="H129" s="48"/>
      <x:c r="I129" s="48"/>
      <x:c r="J129" s="48"/>
      <x:c r="K129" s="48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8"/>
      <x:c r="X129" s="48"/>
      <x:c r="Y129" s="48"/>
      <x:c r="Z129" s="48"/>
    </x:row>
    <x:row r="130">
      <x:c r="A130" s="48"/>
      <x:c r="B130" s="48"/>
      <x:c r="C130" s="48"/>
      <x:c r="D130" s="48"/>
      <x:c r="E130" s="48"/>
      <x:c r="F130" s="48"/>
      <x:c r="G130" s="48"/>
      <x:c r="H130" s="48"/>
      <x:c r="I130" s="48"/>
      <x:c r="J130" s="48"/>
      <x:c r="K130" s="48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8"/>
      <x:c r="X130" s="48"/>
      <x:c r="Y130" s="48"/>
      <x:c r="Z130" s="48"/>
    </x:row>
    <x:row r="131">
      <x:c r="A131" s="48"/>
      <x:c r="B131" s="48"/>
      <x:c r="C131" s="48"/>
      <x:c r="D131" s="48"/>
      <x:c r="E131" s="48"/>
      <x:c r="F131" s="48"/>
      <x:c r="G131" s="48"/>
      <x:c r="H131" s="48"/>
      <x:c r="I131" s="48"/>
      <x:c r="J131" s="48"/>
      <x:c r="K131" s="48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8"/>
      <x:c r="X131" s="48"/>
      <x:c r="Y131" s="48"/>
      <x:c r="Z131" s="48"/>
    </x:row>
    <x:row r="132">
      <x:c r="A132" s="48"/>
      <x:c r="B132" s="48"/>
      <x:c r="C132" s="48"/>
      <x:c r="D132" s="48"/>
      <x:c r="E132" s="48"/>
      <x:c r="F132" s="48"/>
      <x:c r="G132" s="48"/>
      <x:c r="H132" s="48"/>
      <x:c r="I132" s="48"/>
      <x:c r="J132" s="48"/>
      <x:c r="K132" s="48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8"/>
      <x:c r="X132" s="48"/>
      <x:c r="Y132" s="48"/>
      <x:c r="Z132" s="48"/>
    </x:row>
    <x:row r="133">
      <x:c r="A133" s="48"/>
      <x:c r="B133" s="48"/>
      <x:c r="C133" s="48"/>
      <x:c r="D133" s="48"/>
      <x:c r="E133" s="48"/>
      <x:c r="F133" s="48"/>
      <x:c r="G133" s="48"/>
      <x:c r="H133" s="48"/>
      <x:c r="I133" s="48"/>
      <x:c r="J133" s="48"/>
      <x:c r="K133" s="48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8"/>
      <x:c r="X133" s="48"/>
      <x:c r="Y133" s="48"/>
      <x:c r="Z133" s="48"/>
    </x:row>
    <x:row r="134">
      <x:c r="A134" s="48"/>
      <x:c r="B134" s="48"/>
      <x:c r="C134" s="48"/>
      <x:c r="D134" s="48"/>
      <x:c r="E134" s="48"/>
      <x:c r="F134" s="48"/>
      <x:c r="G134" s="48"/>
      <x:c r="H134" s="48"/>
      <x:c r="I134" s="48"/>
      <x:c r="J134" s="48"/>
      <x:c r="K134" s="48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8"/>
      <x:c r="X134" s="48"/>
      <x:c r="Y134" s="48"/>
      <x:c r="Z134" s="48"/>
    </x:row>
    <x:row r="135">
      <x:c r="A135" s="48"/>
      <x:c r="B135" s="48"/>
      <x:c r="C135" s="48"/>
      <x:c r="D135" s="48"/>
      <x:c r="E135" s="48"/>
      <x:c r="F135" s="48"/>
      <x:c r="G135" s="48"/>
      <x:c r="H135" s="48"/>
      <x:c r="I135" s="48"/>
      <x:c r="J135" s="48"/>
      <x:c r="K135" s="48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8"/>
      <x:c r="X135" s="48"/>
      <x:c r="Y135" s="48"/>
      <x:c r="Z135" s="48"/>
    </x:row>
    <x:row r="136">
      <x:c r="A136" s="48"/>
      <x:c r="B136" s="48"/>
      <x:c r="C136" s="48"/>
      <x:c r="D136" s="48"/>
      <x:c r="E136" s="48"/>
      <x:c r="F136" s="48"/>
      <x:c r="G136" s="48"/>
      <x:c r="H136" s="48"/>
      <x:c r="I136" s="48"/>
      <x:c r="J136" s="48"/>
      <x:c r="K136" s="48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8"/>
      <x:c r="X136" s="48"/>
      <x:c r="Y136" s="48"/>
      <x:c r="Z136" s="48"/>
    </x:row>
    <x:row r="137">
      <x:c r="A137" s="48"/>
      <x:c r="B137" s="48"/>
      <x:c r="C137" s="48"/>
      <x:c r="D137" s="48"/>
      <x:c r="E137" s="48"/>
      <x:c r="F137" s="48"/>
      <x:c r="G137" s="48"/>
      <x:c r="H137" s="48"/>
      <x:c r="I137" s="48"/>
      <x:c r="J137" s="48"/>
      <x:c r="K137" s="48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8"/>
      <x:c r="X137" s="48"/>
      <x:c r="Y137" s="48"/>
      <x:c r="Z137" s="48"/>
    </x:row>
    <x:row r="138">
      <x:c r="A138" s="48"/>
      <x:c r="B138" s="48"/>
      <x:c r="C138" s="48"/>
      <x:c r="D138" s="48"/>
      <x:c r="E138" s="48"/>
      <x:c r="F138" s="48"/>
      <x:c r="G138" s="48"/>
      <x:c r="H138" s="48"/>
      <x:c r="I138" s="48"/>
      <x:c r="J138" s="48"/>
      <x:c r="K138" s="48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8"/>
      <x:c r="X138" s="48"/>
      <x:c r="Y138" s="48"/>
      <x:c r="Z138" s="48"/>
    </x:row>
    <x:row r="139">
      <x:c r="A139" s="48"/>
      <x:c r="B139" s="48"/>
      <x:c r="C139" s="48"/>
      <x:c r="D139" s="48"/>
      <x:c r="E139" s="48"/>
      <x:c r="F139" s="48"/>
      <x:c r="G139" s="48"/>
      <x:c r="H139" s="48"/>
      <x:c r="I139" s="48"/>
      <x:c r="J139" s="48"/>
      <x:c r="K139" s="48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8"/>
      <x:c r="X139" s="48"/>
      <x:c r="Y139" s="48"/>
      <x:c r="Z139" s="48"/>
    </x:row>
    <x:row r="140">
      <x:c r="A140" s="48"/>
      <x:c r="B140" s="48"/>
      <x:c r="C140" s="48"/>
      <x:c r="D140" s="48"/>
      <x:c r="E140" s="48"/>
      <x:c r="F140" s="48"/>
      <x:c r="G140" s="48"/>
      <x:c r="H140" s="48"/>
      <x:c r="I140" s="48"/>
      <x:c r="J140" s="48"/>
      <x:c r="K140" s="48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8"/>
      <x:c r="X140" s="48"/>
      <x:c r="Y140" s="48"/>
      <x:c r="Z140" s="48"/>
    </x:row>
    <x:row r="141">
      <x:c r="A141" s="48"/>
      <x:c r="B141" s="48"/>
      <x:c r="C141" s="48"/>
      <x:c r="D141" s="48"/>
      <x:c r="E141" s="48"/>
      <x:c r="F141" s="48"/>
      <x:c r="G141" s="48"/>
      <x:c r="H141" s="48"/>
      <x:c r="I141" s="48"/>
      <x:c r="J141" s="48"/>
      <x:c r="K141" s="48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8"/>
      <x:c r="X141" s="48"/>
      <x:c r="Y141" s="48"/>
      <x:c r="Z141" s="48"/>
    </x:row>
    <x:row r="142">
      <x:c r="A142" s="48"/>
      <x:c r="B142" s="48"/>
      <x:c r="C142" s="48"/>
      <x:c r="D142" s="48"/>
      <x:c r="E142" s="48"/>
      <x:c r="F142" s="48"/>
      <x:c r="G142" s="48"/>
      <x:c r="H142" s="48"/>
      <x:c r="I142" s="48"/>
      <x:c r="J142" s="48"/>
      <x:c r="K142" s="48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8"/>
      <x:c r="X142" s="48"/>
      <x:c r="Y142" s="48"/>
      <x:c r="Z142" s="48"/>
    </x:row>
    <x:row r="143">
      <x:c r="A143" s="48"/>
      <x:c r="B143" s="48"/>
      <x:c r="C143" s="48"/>
      <x:c r="D143" s="48"/>
      <x:c r="E143" s="48"/>
      <x:c r="F143" s="48"/>
      <x:c r="G143" s="48"/>
      <x:c r="H143" s="48"/>
      <x:c r="I143" s="48"/>
      <x:c r="J143" s="48"/>
      <x:c r="K143" s="48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8"/>
      <x:c r="X143" s="48"/>
      <x:c r="Y143" s="48"/>
      <x:c r="Z143" s="48"/>
    </x:row>
    <x:row r="144">
      <x:c r="A144" s="48"/>
      <x:c r="B144" s="48"/>
      <x:c r="C144" s="48"/>
      <x:c r="D144" s="48"/>
      <x:c r="E144" s="48"/>
      <x:c r="F144" s="48"/>
      <x:c r="G144" s="48"/>
      <x:c r="H144" s="48"/>
      <x:c r="I144" s="48"/>
      <x:c r="J144" s="48"/>
      <x:c r="K144" s="48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8"/>
      <x:c r="X144" s="48"/>
      <x:c r="Y144" s="48"/>
      <x:c r="Z144" s="48"/>
    </x:row>
    <x:row r="145">
      <x:c r="A145" s="48"/>
      <x:c r="B145" s="48"/>
      <x:c r="C145" s="48"/>
      <x:c r="D145" s="48"/>
      <x:c r="E145" s="48"/>
      <x:c r="F145" s="48"/>
      <x:c r="G145" s="48"/>
      <x:c r="H145" s="48"/>
      <x:c r="I145" s="48"/>
      <x:c r="J145" s="48"/>
      <x:c r="K145" s="48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8"/>
      <x:c r="X145" s="48"/>
      <x:c r="Y145" s="48"/>
      <x:c r="Z145" s="48"/>
    </x:row>
    <x:row r="146">
      <x:c r="A146" s="48"/>
      <x:c r="B146" s="48"/>
      <x:c r="C146" s="48"/>
      <x:c r="D146" s="48"/>
      <x:c r="E146" s="48"/>
      <x:c r="F146" s="48"/>
      <x:c r="G146" s="48"/>
      <x:c r="H146" s="48"/>
      <x:c r="I146" s="48"/>
      <x:c r="J146" s="48"/>
      <x:c r="K146" s="48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8"/>
      <x:c r="X146" s="48"/>
      <x:c r="Y146" s="48"/>
      <x:c r="Z146" s="48"/>
    </x:row>
    <x:row r="147">
      <x:c r="A147" s="48"/>
      <x:c r="B147" s="48"/>
      <x:c r="C147" s="48"/>
      <x:c r="D147" s="48"/>
      <x:c r="E147" s="48"/>
      <x:c r="F147" s="48"/>
      <x:c r="G147" s="48"/>
      <x:c r="H147" s="48"/>
      <x:c r="I147" s="48"/>
      <x:c r="J147" s="48"/>
      <x:c r="K147" s="48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8"/>
      <x:c r="X147" s="48"/>
      <x:c r="Y147" s="48"/>
      <x:c r="Z147" s="48"/>
    </x:row>
    <x:row r="148">
      <x:c r="A148" s="48"/>
      <x:c r="B148" s="48"/>
      <x:c r="C148" s="48"/>
      <x:c r="D148" s="48"/>
      <x:c r="E148" s="48"/>
      <x:c r="F148" s="48"/>
      <x:c r="G148" s="48"/>
      <x:c r="H148" s="48"/>
      <x:c r="I148" s="48"/>
      <x:c r="J148" s="48"/>
      <x:c r="K148" s="48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8"/>
      <x:c r="X148" s="48"/>
      <x:c r="Y148" s="48"/>
      <x:c r="Z148" s="48"/>
    </x:row>
    <x:row r="149">
      <x:c r="A149" s="48"/>
      <x:c r="B149" s="48"/>
      <x:c r="C149" s="48"/>
      <x:c r="D149" s="48"/>
      <x:c r="E149" s="48"/>
      <x:c r="F149" s="48"/>
      <x:c r="G149" s="48"/>
      <x:c r="H149" s="48"/>
      <x:c r="I149" s="48"/>
      <x:c r="J149" s="48"/>
      <x:c r="K149" s="48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8"/>
      <x:c r="X149" s="48"/>
      <x:c r="Y149" s="48"/>
      <x:c r="Z149" s="48"/>
    </x:row>
    <x:row r="150">
      <x:c r="A150" s="48"/>
      <x:c r="B150" s="48"/>
      <x:c r="C150" s="48"/>
      <x:c r="D150" s="48"/>
      <x:c r="E150" s="48"/>
      <x:c r="F150" s="48"/>
      <x:c r="G150" s="48"/>
      <x:c r="H150" s="48"/>
      <x:c r="I150" s="48"/>
      <x:c r="J150" s="48"/>
      <x:c r="K150" s="48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8"/>
      <x:c r="X150" s="48"/>
      <x:c r="Y150" s="48"/>
      <x:c r="Z150" s="48"/>
    </x:row>
    <x:row r="151">
      <x:c r="A151" s="48"/>
      <x:c r="B151" s="48"/>
      <x:c r="C151" s="48"/>
      <x:c r="D151" s="48"/>
      <x:c r="E151" s="48"/>
      <x:c r="F151" s="48"/>
      <x:c r="G151" s="48"/>
      <x:c r="H151" s="48"/>
      <x:c r="I151" s="48"/>
      <x:c r="J151" s="48"/>
      <x:c r="K151" s="48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8"/>
      <x:c r="X151" s="48"/>
      <x:c r="Y151" s="48"/>
      <x:c r="Z151" s="48"/>
    </x:row>
    <x:row r="152">
      <x:c r="A152" s="48"/>
      <x:c r="B152" s="48"/>
      <x:c r="C152" s="48"/>
      <x:c r="D152" s="48"/>
      <x:c r="E152" s="48"/>
      <x:c r="F152" s="48"/>
      <x:c r="G152" s="48"/>
      <x:c r="H152" s="48"/>
      <x:c r="I152" s="48"/>
      <x:c r="J152" s="48"/>
      <x:c r="K152" s="48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8"/>
      <x:c r="X152" s="48"/>
      <x:c r="Y152" s="48"/>
      <x:c r="Z152" s="48"/>
    </x:row>
    <x:row r="153">
      <x:c r="A153" s="48"/>
      <x:c r="B153" s="48"/>
      <x:c r="C153" s="48"/>
      <x:c r="D153" s="48"/>
      <x:c r="E153" s="48"/>
      <x:c r="F153" s="48"/>
      <x:c r="G153" s="48"/>
      <x:c r="H153" s="48"/>
      <x:c r="I153" s="48"/>
      <x:c r="J153" s="48"/>
      <x:c r="K153" s="48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8"/>
      <x:c r="X153" s="48"/>
      <x:c r="Y153" s="48"/>
      <x:c r="Z153" s="48"/>
    </x:row>
    <x:row r="154">
      <x:c r="A154" s="48"/>
      <x:c r="B154" s="48"/>
      <x:c r="C154" s="48"/>
      <x:c r="D154" s="48"/>
      <x:c r="E154" s="48"/>
      <x:c r="F154" s="48"/>
      <x:c r="G154" s="48"/>
      <x:c r="H154" s="48"/>
      <x:c r="I154" s="48"/>
      <x:c r="J154" s="48"/>
      <x:c r="K154" s="48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8"/>
      <x:c r="X154" s="48"/>
      <x:c r="Y154" s="48"/>
      <x:c r="Z154" s="48"/>
    </x:row>
    <x:row r="155">
      <x:c r="A155" s="48"/>
      <x:c r="B155" s="48"/>
      <x:c r="C155" s="48"/>
      <x:c r="D155" s="48"/>
      <x:c r="E155" s="48"/>
      <x:c r="F155" s="48"/>
      <x:c r="G155" s="48"/>
      <x:c r="H155" s="48"/>
      <x:c r="I155" s="48"/>
      <x:c r="J155" s="48"/>
      <x:c r="K155" s="48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8"/>
      <x:c r="X155" s="48"/>
      <x:c r="Y155" s="48"/>
      <x:c r="Z155" s="48"/>
    </x:row>
    <x:row r="156">
      <x:c r="A156" s="48"/>
      <x:c r="B156" s="48"/>
      <x:c r="C156" s="48"/>
      <x:c r="D156" s="48"/>
      <x:c r="E156" s="48"/>
      <x:c r="F156" s="48"/>
      <x:c r="G156" s="48"/>
      <x:c r="H156" s="48"/>
      <x:c r="I156" s="48"/>
      <x:c r="J156" s="48"/>
      <x:c r="K156" s="48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8"/>
      <x:c r="X156" s="48"/>
      <x:c r="Y156" s="48"/>
      <x:c r="Z156" s="48"/>
    </x:row>
    <x:row r="157">
      <x:c r="A157" s="48"/>
      <x:c r="B157" s="48"/>
      <x:c r="C157" s="48"/>
      <x:c r="D157" s="48"/>
      <x:c r="E157" s="48"/>
      <x:c r="F157" s="48"/>
      <x:c r="G157" s="48"/>
      <x:c r="H157" s="48"/>
      <x:c r="I157" s="48"/>
      <x:c r="J157" s="48"/>
      <x:c r="K157" s="48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8"/>
      <x:c r="X157" s="48"/>
      <x:c r="Y157" s="48"/>
      <x:c r="Z157" s="48"/>
    </x:row>
    <x:row r="158">
      <x:c r="A158" s="48"/>
      <x:c r="B158" s="48"/>
      <x:c r="C158" s="48"/>
      <x:c r="D158" s="48"/>
      <x:c r="E158" s="48"/>
      <x:c r="F158" s="48"/>
      <x:c r="G158" s="48"/>
      <x:c r="H158" s="48"/>
      <x:c r="I158" s="48"/>
      <x:c r="J158" s="48"/>
      <x:c r="K158" s="48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8"/>
      <x:c r="X158" s="48"/>
      <x:c r="Y158" s="48"/>
      <x:c r="Z158" s="48"/>
    </x:row>
    <x:row r="159">
      <x:c r="A159" s="48"/>
      <x:c r="B159" s="48"/>
      <x:c r="C159" s="48"/>
      <x:c r="D159" s="48"/>
      <x:c r="E159" s="48"/>
      <x:c r="F159" s="48"/>
      <x:c r="G159" s="48"/>
      <x:c r="H159" s="48"/>
      <x:c r="I159" s="48"/>
      <x:c r="J159" s="48"/>
      <x:c r="K159" s="48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8"/>
      <x:c r="X159" s="48"/>
      <x:c r="Y159" s="48"/>
      <x:c r="Z159" s="48"/>
    </x:row>
    <x:row r="160">
      <x:c r="A160" s="48"/>
      <x:c r="B160" s="48"/>
      <x:c r="C160" s="48"/>
      <x:c r="D160" s="48"/>
      <x:c r="E160" s="48"/>
      <x:c r="F160" s="48"/>
      <x:c r="G160" s="48"/>
      <x:c r="H160" s="48"/>
      <x:c r="I160" s="48"/>
      <x:c r="J160" s="48"/>
      <x:c r="K160" s="48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8"/>
      <x:c r="X160" s="48"/>
      <x:c r="Y160" s="48"/>
      <x:c r="Z160" s="48"/>
    </x:row>
    <x:row r="161">
      <x:c r="A161" s="48"/>
      <x:c r="B161" s="48"/>
      <x:c r="C161" s="48"/>
      <x:c r="D161" s="48"/>
      <x:c r="E161" s="48"/>
      <x:c r="F161" s="48"/>
      <x:c r="G161" s="48"/>
      <x:c r="H161" s="48"/>
      <x:c r="I161" s="48"/>
      <x:c r="J161" s="48"/>
      <x:c r="K161" s="48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8"/>
      <x:c r="X161" s="48"/>
      <x:c r="Y161" s="48"/>
      <x:c r="Z161" s="48"/>
    </x:row>
    <x:row r="162">
      <x:c r="A162" s="48"/>
      <x:c r="B162" s="48"/>
      <x:c r="C162" s="48"/>
      <x:c r="D162" s="48"/>
      <x:c r="E162" s="48"/>
      <x:c r="F162" s="48"/>
      <x:c r="G162" s="48"/>
      <x:c r="H162" s="48"/>
      <x:c r="I162" s="48"/>
      <x:c r="J162" s="48"/>
      <x:c r="K162" s="48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8"/>
      <x:c r="X162" s="48"/>
      <x:c r="Y162" s="48"/>
      <x:c r="Z162" s="48"/>
    </x:row>
    <x:row r="163">
      <x:c r="A163" s="48"/>
      <x:c r="B163" s="48"/>
      <x:c r="C163" s="48"/>
      <x:c r="D163" s="48"/>
      <x:c r="E163" s="48"/>
      <x:c r="F163" s="48"/>
      <x:c r="G163" s="48"/>
      <x:c r="H163" s="48"/>
      <x:c r="I163" s="48"/>
      <x:c r="J163" s="48"/>
      <x:c r="K163" s="48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8"/>
      <x:c r="X163" s="48"/>
      <x:c r="Y163" s="48"/>
      <x:c r="Z163" s="48"/>
    </x:row>
    <x:row r="164">
      <x:c r="A164" s="48"/>
      <x:c r="B164" s="48"/>
      <x:c r="C164" s="48"/>
      <x:c r="D164" s="48"/>
      <x:c r="E164" s="48"/>
      <x:c r="F164" s="48"/>
      <x:c r="G164" s="48"/>
      <x:c r="H164" s="48"/>
      <x:c r="I164" s="48"/>
      <x:c r="J164" s="48"/>
      <x:c r="K164" s="48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8"/>
      <x:c r="X164" s="48"/>
      <x:c r="Y164" s="48"/>
      <x:c r="Z164" s="48"/>
    </x:row>
    <x:row r="165">
      <x:c r="A165" s="48"/>
      <x:c r="B165" s="48"/>
      <x:c r="C165" s="48"/>
      <x:c r="D165" s="48"/>
      <x:c r="E165" s="48"/>
      <x:c r="F165" s="48"/>
      <x:c r="G165" s="48"/>
      <x:c r="H165" s="48"/>
      <x:c r="I165" s="48"/>
      <x:c r="J165" s="48"/>
      <x:c r="K165" s="48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8"/>
      <x:c r="X165" s="48"/>
      <x:c r="Y165" s="48"/>
      <x:c r="Z165" s="48"/>
    </x:row>
    <x:row r="166">
      <x:c r="A166" s="48"/>
      <x:c r="B166" s="48"/>
      <x:c r="C166" s="48"/>
      <x:c r="D166" s="48"/>
      <x:c r="E166" s="48"/>
      <x:c r="F166" s="48"/>
      <x:c r="G166" s="48"/>
      <x:c r="H166" s="48"/>
      <x:c r="I166" s="48"/>
      <x:c r="J166" s="48"/>
      <x:c r="K166" s="48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8"/>
      <x:c r="X166" s="48"/>
      <x:c r="Y166" s="48"/>
      <x:c r="Z166" s="48"/>
    </x:row>
    <x:row r="167">
      <x:c r="A167" s="48"/>
      <x:c r="B167" s="48"/>
      <x:c r="C167" s="48"/>
      <x:c r="D167" s="48"/>
      <x:c r="E167" s="48"/>
      <x:c r="F167" s="48"/>
      <x:c r="G167" s="48"/>
      <x:c r="H167" s="48"/>
      <x:c r="I167" s="48"/>
      <x:c r="J167" s="48"/>
      <x:c r="K167" s="48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8"/>
      <x:c r="X167" s="48"/>
      <x:c r="Y167" s="48"/>
      <x:c r="Z167" s="48"/>
    </x:row>
    <x:row r="168">
      <x:c r="A168" s="48"/>
      <x:c r="B168" s="48"/>
      <x:c r="C168" s="48"/>
      <x:c r="D168" s="48"/>
      <x:c r="E168" s="48"/>
      <x:c r="F168" s="48"/>
      <x:c r="G168" s="48"/>
      <x:c r="H168" s="48"/>
      <x:c r="I168" s="48"/>
      <x:c r="J168" s="48"/>
      <x:c r="K168" s="48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8"/>
      <x:c r="X168" s="48"/>
      <x:c r="Y168" s="48"/>
      <x:c r="Z168" s="48"/>
    </x:row>
    <x:row r="169">
      <x:c r="A169" s="48"/>
      <x:c r="B169" s="48"/>
      <x:c r="C169" s="48"/>
      <x:c r="D169" s="48"/>
      <x:c r="E169" s="48"/>
      <x:c r="F169" s="48"/>
      <x:c r="G169" s="48"/>
      <x:c r="H169" s="48"/>
      <x:c r="I169" s="48"/>
      <x:c r="J169" s="48"/>
      <x:c r="K169" s="48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8"/>
      <x:c r="X169" s="48"/>
      <x:c r="Y169" s="48"/>
      <x:c r="Z169" s="48"/>
    </x:row>
    <x:row r="170">
      <x:c r="A170" s="48"/>
      <x:c r="B170" s="48"/>
      <x:c r="C170" s="48"/>
      <x:c r="D170" s="48"/>
      <x:c r="E170" s="48"/>
      <x:c r="F170" s="48"/>
      <x:c r="G170" s="48"/>
      <x:c r="H170" s="48"/>
      <x:c r="I170" s="48"/>
      <x:c r="J170" s="48"/>
      <x:c r="K170" s="48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8"/>
      <x:c r="X170" s="48"/>
      <x:c r="Y170" s="48"/>
      <x:c r="Z170" s="48"/>
    </x:row>
    <x:row r="171">
      <x:c r="A171" s="48"/>
      <x:c r="B171" s="48"/>
      <x:c r="C171" s="48"/>
      <x:c r="D171" s="48"/>
      <x:c r="E171" s="48"/>
      <x:c r="F171" s="48"/>
      <x:c r="G171" s="48"/>
      <x:c r="H171" s="48"/>
      <x:c r="I171" s="48"/>
      <x:c r="J171" s="48"/>
      <x:c r="K171" s="48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8"/>
      <x:c r="X171" s="48"/>
      <x:c r="Y171" s="48"/>
      <x:c r="Z171" s="48"/>
    </x:row>
    <x:row r="172">
      <x:c r="A172" s="48"/>
      <x:c r="B172" s="48"/>
      <x:c r="C172" s="48"/>
      <x:c r="D172" s="48"/>
      <x:c r="E172" s="48"/>
      <x:c r="F172" s="48"/>
      <x:c r="G172" s="48"/>
      <x:c r="H172" s="48"/>
      <x:c r="I172" s="48"/>
      <x:c r="J172" s="48"/>
      <x:c r="K172" s="48"/>
      <x:c r="L172" s="48"/>
      <x:c r="M172" s="48"/>
      <x:c r="N172" s="48"/>
      <x:c r="O172" s="48"/>
      <x:c r="P172" s="48"/>
      <x:c r="Q172" s="48"/>
      <x:c r="R172" s="48"/>
      <x:c r="S172" s="48"/>
      <x:c r="T172" s="48"/>
      <x:c r="U172" s="48"/>
      <x:c r="V172" s="48"/>
      <x:c r="W172" s="48"/>
      <x:c r="X172" s="48"/>
      <x:c r="Y172" s="48"/>
      <x:c r="Z172" s="48"/>
    </x:row>
    <x:row r="173">
      <x:c r="A173" s="48"/>
      <x:c r="B173" s="48"/>
      <x:c r="C173" s="48"/>
      <x:c r="D173" s="48"/>
      <x:c r="E173" s="48"/>
      <x:c r="F173" s="48"/>
      <x:c r="G173" s="48"/>
      <x:c r="H173" s="48"/>
      <x:c r="I173" s="48"/>
      <x:c r="J173" s="48"/>
      <x:c r="K173" s="48"/>
      <x:c r="L173" s="48"/>
      <x:c r="M173" s="48"/>
      <x:c r="N173" s="48"/>
      <x:c r="O173" s="48"/>
      <x:c r="P173" s="48"/>
      <x:c r="Q173" s="48"/>
      <x:c r="R173" s="48"/>
      <x:c r="S173" s="48"/>
      <x:c r="T173" s="48"/>
      <x:c r="U173" s="48"/>
      <x:c r="V173" s="48"/>
      <x:c r="W173" s="48"/>
      <x:c r="X173" s="48"/>
      <x:c r="Y173" s="48"/>
      <x:c r="Z173" s="48"/>
    </x:row>
    <x:row r="174">
      <x:c r="A174" s="48"/>
      <x:c r="B174" s="48"/>
      <x:c r="C174" s="48"/>
      <x:c r="D174" s="48"/>
      <x:c r="E174" s="48"/>
      <x:c r="F174" s="48"/>
      <x:c r="G174" s="48"/>
      <x:c r="H174" s="48"/>
      <x:c r="I174" s="48"/>
      <x:c r="J174" s="48"/>
      <x:c r="K174" s="48"/>
      <x:c r="L174" s="48"/>
      <x:c r="M174" s="48"/>
      <x:c r="N174" s="48"/>
      <x:c r="O174" s="48"/>
      <x:c r="P174" s="48"/>
      <x:c r="Q174" s="48"/>
      <x:c r="R174" s="48"/>
      <x:c r="S174" s="48"/>
      <x:c r="T174" s="48"/>
      <x:c r="U174" s="48"/>
      <x:c r="V174" s="48"/>
      <x:c r="W174" s="48"/>
      <x:c r="X174" s="48"/>
      <x:c r="Y174" s="48"/>
      <x:c r="Z174" s="48"/>
    </x:row>
    <x:row r="175">
      <x:c r="A175" s="48"/>
      <x:c r="B175" s="48"/>
      <x:c r="C175" s="48"/>
      <x:c r="D175" s="48"/>
      <x:c r="E175" s="48"/>
      <x:c r="F175" s="48"/>
      <x:c r="G175" s="48"/>
      <x:c r="H175" s="48"/>
      <x:c r="I175" s="48"/>
      <x:c r="J175" s="48"/>
      <x:c r="K175" s="48"/>
      <x:c r="L175" s="48"/>
      <x:c r="M175" s="48"/>
      <x:c r="N175" s="48"/>
      <x:c r="O175" s="48"/>
      <x:c r="P175" s="48"/>
      <x:c r="Q175" s="48"/>
      <x:c r="R175" s="48"/>
      <x:c r="S175" s="48"/>
      <x:c r="T175" s="48"/>
      <x:c r="U175" s="48"/>
      <x:c r="V175" s="48"/>
      <x:c r="W175" s="48"/>
      <x:c r="X175" s="48"/>
      <x:c r="Y175" s="48"/>
      <x:c r="Z175" s="48"/>
    </x:row>
    <x:row r="176">
      <x:c r="A176" s="48"/>
      <x:c r="B176" s="48"/>
      <x:c r="C176" s="48"/>
      <x:c r="D176" s="48"/>
      <x:c r="E176" s="48"/>
      <x:c r="F176" s="48"/>
      <x:c r="G176" s="48"/>
      <x:c r="H176" s="48"/>
      <x:c r="I176" s="48"/>
      <x:c r="J176" s="48"/>
      <x:c r="K176" s="48"/>
      <x:c r="L176" s="48"/>
      <x:c r="M176" s="48"/>
      <x:c r="N176" s="48"/>
      <x:c r="O176" s="48"/>
      <x:c r="P176" s="48"/>
      <x:c r="Q176" s="48"/>
      <x:c r="R176" s="48"/>
      <x:c r="S176" s="48"/>
      <x:c r="T176" s="48"/>
      <x:c r="U176" s="48"/>
      <x:c r="V176" s="48"/>
      <x:c r="W176" s="48"/>
      <x:c r="X176" s="48"/>
      <x:c r="Y176" s="48"/>
      <x:c r="Z176" s="48"/>
    </x:row>
    <x:row r="177">
      <x:c r="A177" s="48"/>
      <x:c r="B177" s="48"/>
      <x:c r="C177" s="48"/>
      <x:c r="D177" s="48"/>
      <x:c r="E177" s="48"/>
      <x:c r="F177" s="48"/>
      <x:c r="G177" s="48"/>
      <x:c r="H177" s="48"/>
      <x:c r="I177" s="48"/>
      <x:c r="J177" s="48"/>
      <x:c r="K177" s="48"/>
      <x:c r="L177" s="48"/>
      <x:c r="M177" s="48"/>
      <x:c r="N177" s="48"/>
      <x:c r="O177" s="48"/>
      <x:c r="P177" s="48"/>
      <x:c r="Q177" s="48"/>
      <x:c r="R177" s="48"/>
      <x:c r="S177" s="48"/>
      <x:c r="T177" s="48"/>
      <x:c r="U177" s="48"/>
      <x:c r="V177" s="48"/>
      <x:c r="W177" s="48"/>
      <x:c r="X177" s="48"/>
      <x:c r="Y177" s="48"/>
      <x:c r="Z177" s="48"/>
    </x:row>
    <x:row r="178">
      <x:c r="A178" s="48"/>
      <x:c r="B178" s="48"/>
      <x:c r="C178" s="48"/>
      <x:c r="D178" s="48"/>
      <x:c r="E178" s="48"/>
      <x:c r="F178" s="48"/>
      <x:c r="G178" s="48"/>
      <x:c r="H178" s="48"/>
      <x:c r="I178" s="48"/>
      <x:c r="J178" s="48"/>
      <x:c r="K178" s="48"/>
      <x:c r="L178" s="48"/>
      <x:c r="M178" s="48"/>
      <x:c r="N178" s="48"/>
      <x:c r="O178" s="48"/>
      <x:c r="P178" s="48"/>
      <x:c r="Q178" s="48"/>
      <x:c r="R178" s="48"/>
      <x:c r="S178" s="48"/>
      <x:c r="T178" s="48"/>
      <x:c r="U178" s="48"/>
      <x:c r="V178" s="48"/>
      <x:c r="W178" s="48"/>
      <x:c r="X178" s="48"/>
      <x:c r="Y178" s="48"/>
      <x:c r="Z178" s="48"/>
    </x:row>
    <x:row r="179">
      <x:c r="A179" s="48"/>
      <x:c r="B179" s="48"/>
      <x:c r="C179" s="48"/>
      <x:c r="D179" s="48"/>
      <x:c r="E179" s="48"/>
      <x:c r="F179" s="48"/>
      <x:c r="G179" s="48"/>
      <x:c r="H179" s="48"/>
      <x:c r="I179" s="48"/>
      <x:c r="J179" s="48"/>
      <x:c r="K179" s="48"/>
      <x:c r="L179" s="48"/>
      <x:c r="M179" s="48"/>
      <x:c r="N179" s="48"/>
      <x:c r="O179" s="48"/>
      <x:c r="P179" s="48"/>
      <x:c r="Q179" s="48"/>
      <x:c r="R179" s="48"/>
      <x:c r="S179" s="48"/>
      <x:c r="T179" s="48"/>
      <x:c r="U179" s="48"/>
      <x:c r="V179" s="48"/>
      <x:c r="W179" s="48"/>
      <x:c r="X179" s="48"/>
      <x:c r="Y179" s="48"/>
      <x:c r="Z179" s="48"/>
    </x:row>
    <x:row r="180">
      <x:c r="A180" s="48"/>
      <x:c r="B180" s="48"/>
      <x:c r="C180" s="48"/>
      <x:c r="D180" s="48"/>
      <x:c r="E180" s="48"/>
      <x:c r="F180" s="48"/>
      <x:c r="G180" s="48"/>
      <x:c r="H180" s="48"/>
      <x:c r="I180" s="48"/>
      <x:c r="J180" s="48"/>
      <x:c r="K180" s="48"/>
      <x:c r="L180" s="48"/>
      <x:c r="M180" s="48"/>
      <x:c r="N180" s="48"/>
      <x:c r="O180" s="48"/>
      <x:c r="P180" s="48"/>
      <x:c r="Q180" s="48"/>
      <x:c r="R180" s="48"/>
      <x:c r="S180" s="48"/>
      <x:c r="T180" s="48"/>
      <x:c r="U180" s="48"/>
      <x:c r="V180" s="48"/>
      <x:c r="W180" s="48"/>
      <x:c r="X180" s="48"/>
      <x:c r="Y180" s="48"/>
      <x:c r="Z180" s="48"/>
    </x:row>
    <x:row r="181">
      <x:c r="A181" s="48"/>
      <x:c r="B181" s="48"/>
      <x:c r="C181" s="48"/>
      <x:c r="D181" s="48"/>
      <x:c r="E181" s="48"/>
      <x:c r="F181" s="48"/>
      <x:c r="G181" s="48"/>
      <x:c r="H181" s="48"/>
      <x:c r="I181" s="48"/>
      <x:c r="J181" s="48"/>
      <x:c r="K181" s="48"/>
      <x:c r="L181" s="48"/>
      <x:c r="M181" s="48"/>
      <x:c r="N181" s="48"/>
      <x:c r="O181" s="48"/>
      <x:c r="P181" s="48"/>
      <x:c r="Q181" s="48"/>
      <x:c r="R181" s="48"/>
      <x:c r="S181" s="48"/>
      <x:c r="T181" s="48"/>
      <x:c r="U181" s="48"/>
      <x:c r="V181" s="48"/>
      <x:c r="W181" s="48"/>
      <x:c r="X181" s="48"/>
      <x:c r="Y181" s="48"/>
      <x:c r="Z181" s="48"/>
    </x:row>
    <x:row r="182">
      <x:c r="A182" s="48"/>
      <x:c r="B182" s="48"/>
      <x:c r="C182" s="48"/>
      <x:c r="D182" s="48"/>
      <x:c r="E182" s="48"/>
      <x:c r="F182" s="48"/>
      <x:c r="G182" s="48"/>
      <x:c r="H182" s="48"/>
      <x:c r="I182" s="48"/>
      <x:c r="J182" s="48"/>
      <x:c r="K182" s="48"/>
      <x:c r="L182" s="48"/>
      <x:c r="M182" s="48"/>
      <x:c r="N182" s="48"/>
      <x:c r="O182" s="48"/>
      <x:c r="P182" s="48"/>
      <x:c r="Q182" s="48"/>
      <x:c r="R182" s="48"/>
      <x:c r="S182" s="48"/>
      <x:c r="T182" s="48"/>
      <x:c r="U182" s="48"/>
      <x:c r="V182" s="48"/>
      <x:c r="W182" s="48"/>
      <x:c r="X182" s="48"/>
      <x:c r="Y182" s="48"/>
      <x:c r="Z182" s="48"/>
    </x:row>
    <x:row r="183">
      <x:c r="A183" s="48"/>
      <x:c r="B183" s="48"/>
      <x:c r="C183" s="48"/>
      <x:c r="D183" s="48"/>
      <x:c r="E183" s="48"/>
      <x:c r="F183" s="48"/>
      <x:c r="G183" s="48"/>
      <x:c r="H183" s="48"/>
      <x:c r="I183" s="48"/>
      <x:c r="J183" s="48"/>
      <x:c r="K183" s="48"/>
      <x:c r="L183" s="48"/>
      <x:c r="M183" s="48"/>
      <x:c r="N183" s="48"/>
      <x:c r="O183" s="48"/>
      <x:c r="P183" s="48"/>
      <x:c r="Q183" s="48"/>
      <x:c r="R183" s="48"/>
      <x:c r="S183" s="48"/>
      <x:c r="T183" s="48"/>
      <x:c r="U183" s="48"/>
      <x:c r="V183" s="48"/>
      <x:c r="W183" s="48"/>
      <x:c r="X183" s="48"/>
      <x:c r="Y183" s="48"/>
      <x:c r="Z183" s="48"/>
    </x:row>
    <x:row r="184">
      <x:c r="A184" s="48"/>
      <x:c r="B184" s="48"/>
      <x:c r="C184" s="48"/>
      <x:c r="D184" s="48"/>
      <x:c r="E184" s="48"/>
      <x:c r="F184" s="48"/>
      <x:c r="G184" s="48"/>
      <x:c r="H184" s="48"/>
      <x:c r="I184" s="48"/>
      <x:c r="J184" s="48"/>
      <x:c r="K184" s="48"/>
      <x:c r="L184" s="48"/>
      <x:c r="M184" s="48"/>
      <x:c r="N184" s="48"/>
      <x:c r="O184" s="48"/>
      <x:c r="P184" s="48"/>
      <x:c r="Q184" s="48"/>
      <x:c r="R184" s="48"/>
      <x:c r="S184" s="48"/>
      <x:c r="T184" s="48"/>
      <x:c r="U184" s="48"/>
      <x:c r="V184" s="48"/>
      <x:c r="W184" s="48"/>
      <x:c r="X184" s="48"/>
      <x:c r="Y184" s="48"/>
      <x:c r="Z184" s="48"/>
    </x:row>
    <x:row r="185">
      <x:c r="A185" s="48"/>
      <x:c r="B185" s="48"/>
      <x:c r="C185" s="48"/>
      <x:c r="D185" s="48"/>
      <x:c r="E185" s="48"/>
      <x:c r="F185" s="48"/>
      <x:c r="G185" s="48"/>
      <x:c r="H185" s="48"/>
      <x:c r="I185" s="48"/>
      <x:c r="J185" s="48"/>
      <x:c r="K185" s="48"/>
      <x:c r="L185" s="48"/>
      <x:c r="M185" s="48"/>
      <x:c r="N185" s="48"/>
      <x:c r="O185" s="48"/>
      <x:c r="P185" s="48"/>
      <x:c r="Q185" s="48"/>
      <x:c r="R185" s="48"/>
      <x:c r="S185" s="48"/>
      <x:c r="T185" s="48"/>
      <x:c r="U185" s="48"/>
      <x:c r="V185" s="48"/>
      <x:c r="W185" s="48"/>
      <x:c r="X185" s="48"/>
      <x:c r="Y185" s="48"/>
      <x:c r="Z185" s="48"/>
    </x:row>
    <x:row r="186">
      <x:c r="A186" s="48"/>
      <x:c r="B186" s="48"/>
      <x:c r="C186" s="48"/>
      <x:c r="D186" s="48"/>
      <x:c r="E186" s="48"/>
      <x:c r="F186" s="48"/>
      <x:c r="G186" s="48"/>
      <x:c r="H186" s="48"/>
      <x:c r="I186" s="48"/>
      <x:c r="J186" s="48"/>
      <x:c r="K186" s="48"/>
      <x:c r="L186" s="48"/>
      <x:c r="M186" s="48"/>
      <x:c r="N186" s="48"/>
      <x:c r="O186" s="48"/>
      <x:c r="P186" s="48"/>
      <x:c r="Q186" s="48"/>
      <x:c r="R186" s="48"/>
      <x:c r="S186" s="48"/>
      <x:c r="T186" s="48"/>
      <x:c r="U186" s="48"/>
      <x:c r="V186" s="48"/>
      <x:c r="W186" s="48"/>
      <x:c r="X186" s="48"/>
      <x:c r="Y186" s="48"/>
      <x:c r="Z186" s="48"/>
    </x:row>
    <x:row r="187">
      <x:c r="A187" s="48"/>
      <x:c r="B187" s="48"/>
      <x:c r="C187" s="48"/>
      <x:c r="D187" s="48"/>
      <x:c r="E187" s="48"/>
      <x:c r="F187" s="48"/>
      <x:c r="G187" s="48"/>
      <x:c r="H187" s="48"/>
      <x:c r="I187" s="48"/>
      <x:c r="J187" s="48"/>
      <x:c r="K187" s="48"/>
      <x:c r="L187" s="48"/>
      <x:c r="M187" s="48"/>
      <x:c r="N187" s="48"/>
      <x:c r="O187" s="48"/>
      <x:c r="P187" s="48"/>
      <x:c r="Q187" s="48"/>
      <x:c r="R187" s="48"/>
      <x:c r="S187" s="48"/>
      <x:c r="T187" s="48"/>
      <x:c r="U187" s="48"/>
      <x:c r="V187" s="48"/>
      <x:c r="W187" s="48"/>
      <x:c r="X187" s="48"/>
      <x:c r="Y187" s="48"/>
      <x:c r="Z187" s="48"/>
    </x:row>
    <x:row r="188">
      <x:c r="A188" s="48"/>
      <x:c r="B188" s="48"/>
      <x:c r="C188" s="48"/>
      <x:c r="D188" s="48"/>
      <x:c r="E188" s="48"/>
      <x:c r="F188" s="48"/>
      <x:c r="G188" s="48"/>
      <x:c r="H188" s="48"/>
      <x:c r="I188" s="48"/>
      <x:c r="J188" s="48"/>
      <x:c r="K188" s="48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  <x:c r="W188" s="48"/>
      <x:c r="X188" s="48"/>
      <x:c r="Y188" s="48"/>
      <x:c r="Z188" s="48"/>
    </x:row>
    <x:row r="189">
      <x:c r="A189" s="48"/>
      <x:c r="B189" s="48"/>
      <x:c r="C189" s="48"/>
      <x:c r="D189" s="48"/>
      <x:c r="E189" s="48"/>
      <x:c r="F189" s="48"/>
      <x:c r="G189" s="48"/>
      <x:c r="H189" s="48"/>
      <x:c r="I189" s="48"/>
      <x:c r="J189" s="48"/>
      <x:c r="K189" s="48"/>
      <x:c r="L189" s="48"/>
      <x:c r="M189" s="48"/>
      <x:c r="N189" s="48"/>
      <x:c r="O189" s="48"/>
      <x:c r="P189" s="48"/>
      <x:c r="Q189" s="48"/>
      <x:c r="R189" s="48"/>
      <x:c r="S189" s="48"/>
      <x:c r="T189" s="48"/>
      <x:c r="U189" s="48"/>
      <x:c r="V189" s="48"/>
      <x:c r="W189" s="48"/>
      <x:c r="X189" s="48"/>
      <x:c r="Y189" s="48"/>
      <x:c r="Z189" s="48"/>
    </x:row>
    <x:row r="190">
      <x:c r="A190" s="48"/>
      <x:c r="B190" s="48"/>
      <x:c r="C190" s="48"/>
      <x:c r="D190" s="48"/>
      <x:c r="E190" s="48"/>
      <x:c r="F190" s="48"/>
      <x:c r="G190" s="48"/>
      <x:c r="H190" s="48"/>
      <x:c r="I190" s="48"/>
      <x:c r="J190" s="48"/>
      <x:c r="K190" s="48"/>
      <x:c r="L190" s="48"/>
      <x:c r="M190" s="48"/>
      <x:c r="N190" s="48"/>
      <x:c r="O190" s="48"/>
      <x:c r="P190" s="48"/>
      <x:c r="Q190" s="48"/>
      <x:c r="R190" s="48"/>
      <x:c r="S190" s="48"/>
      <x:c r="T190" s="48"/>
      <x:c r="U190" s="48"/>
      <x:c r="V190" s="48"/>
      <x:c r="W190" s="48"/>
      <x:c r="X190" s="48"/>
      <x:c r="Y190" s="48"/>
      <x:c r="Z190" s="48"/>
    </x:row>
    <x:row r="191">
      <x:c r="A191" s="48"/>
      <x:c r="B191" s="48"/>
      <x:c r="C191" s="48"/>
      <x:c r="D191" s="48"/>
      <x:c r="E191" s="48"/>
      <x:c r="F191" s="48"/>
      <x:c r="G191" s="48"/>
      <x:c r="H191" s="48"/>
      <x:c r="I191" s="48"/>
      <x:c r="J191" s="48"/>
      <x:c r="K191" s="48"/>
      <x:c r="L191" s="48"/>
      <x:c r="M191" s="48"/>
      <x:c r="N191" s="48"/>
      <x:c r="O191" s="48"/>
      <x:c r="P191" s="48"/>
      <x:c r="Q191" s="48"/>
      <x:c r="R191" s="48"/>
      <x:c r="S191" s="48"/>
      <x:c r="T191" s="48"/>
      <x:c r="U191" s="48"/>
      <x:c r="V191" s="48"/>
      <x:c r="W191" s="48"/>
      <x:c r="X191" s="48"/>
      <x:c r="Y191" s="48"/>
      <x:c r="Z191" s="48"/>
    </x:row>
    <x:row r="192">
      <x:c r="A192" s="48"/>
      <x:c r="B192" s="48"/>
      <x:c r="C192" s="48"/>
      <x:c r="D192" s="48"/>
      <x:c r="E192" s="48"/>
      <x:c r="F192" s="48"/>
      <x:c r="G192" s="48"/>
      <x:c r="H192" s="48"/>
      <x:c r="I192" s="48"/>
      <x:c r="J192" s="48"/>
      <x:c r="K192" s="48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  <x:c r="W192" s="48"/>
      <x:c r="X192" s="48"/>
      <x:c r="Y192" s="48"/>
      <x:c r="Z192" s="48"/>
    </x:row>
    <x:row r="193">
      <x:c r="A193" s="48"/>
      <x:c r="B193" s="48"/>
      <x:c r="C193" s="48"/>
      <x:c r="D193" s="48"/>
      <x:c r="E193" s="48"/>
      <x:c r="F193" s="48"/>
      <x:c r="G193" s="48"/>
      <x:c r="H193" s="48"/>
      <x:c r="I193" s="48"/>
      <x:c r="J193" s="48"/>
      <x:c r="K193" s="48"/>
      <x:c r="L193" s="48"/>
      <x:c r="M193" s="48"/>
      <x:c r="N193" s="48"/>
      <x:c r="O193" s="48"/>
      <x:c r="P193" s="48"/>
      <x:c r="Q193" s="48"/>
      <x:c r="R193" s="48"/>
      <x:c r="S193" s="48"/>
      <x:c r="T193" s="48"/>
      <x:c r="U193" s="48"/>
      <x:c r="V193" s="48"/>
      <x:c r="W193" s="48"/>
      <x:c r="X193" s="48"/>
      <x:c r="Y193" s="48"/>
      <x:c r="Z193" s="48"/>
    </x:row>
    <x:row r="194">
      <x:c r="A194" s="48"/>
      <x:c r="B194" s="48"/>
      <x:c r="C194" s="48"/>
      <x:c r="D194" s="48"/>
      <x:c r="E194" s="48"/>
      <x:c r="F194" s="48"/>
      <x:c r="G194" s="48"/>
      <x:c r="H194" s="48"/>
      <x:c r="I194" s="48"/>
      <x:c r="J194" s="48"/>
      <x:c r="K194" s="48"/>
      <x:c r="L194" s="48"/>
      <x:c r="M194" s="48"/>
      <x:c r="N194" s="48"/>
      <x:c r="O194" s="48"/>
      <x:c r="P194" s="48"/>
      <x:c r="Q194" s="48"/>
      <x:c r="R194" s="48"/>
      <x:c r="S194" s="48"/>
      <x:c r="T194" s="48"/>
      <x:c r="U194" s="48"/>
      <x:c r="V194" s="48"/>
      <x:c r="W194" s="48"/>
      <x:c r="X194" s="48"/>
      <x:c r="Y194" s="48"/>
      <x:c r="Z194" s="48"/>
    </x:row>
    <x:row r="195">
      <x:c r="A195" s="48"/>
      <x:c r="B195" s="48"/>
      <x:c r="C195" s="48"/>
      <x:c r="D195" s="48"/>
      <x:c r="E195" s="48"/>
      <x:c r="F195" s="48"/>
      <x:c r="G195" s="48"/>
      <x:c r="H195" s="48"/>
      <x:c r="I195" s="48"/>
      <x:c r="J195" s="48"/>
      <x:c r="K195" s="48"/>
      <x:c r="L195" s="48"/>
      <x:c r="M195" s="48"/>
      <x:c r="N195" s="48"/>
      <x:c r="O195" s="48"/>
      <x:c r="P195" s="48"/>
      <x:c r="Q195" s="48"/>
      <x:c r="R195" s="48"/>
      <x:c r="S195" s="48"/>
      <x:c r="T195" s="48"/>
      <x:c r="U195" s="48"/>
      <x:c r="V195" s="48"/>
      <x:c r="W195" s="48"/>
      <x:c r="X195" s="48"/>
      <x:c r="Y195" s="48"/>
      <x:c r="Z195" s="48"/>
    </x:row>
    <x:row r="196">
      <x:c r="A196" s="48"/>
      <x:c r="B196" s="48"/>
      <x:c r="C196" s="48"/>
      <x:c r="D196" s="48"/>
      <x:c r="E196" s="48"/>
      <x:c r="F196" s="48"/>
      <x:c r="G196" s="48"/>
      <x:c r="H196" s="48"/>
      <x:c r="I196" s="48"/>
      <x:c r="J196" s="48"/>
      <x:c r="K196" s="48"/>
      <x:c r="L196" s="48"/>
      <x:c r="M196" s="48"/>
      <x:c r="N196" s="48"/>
      <x:c r="O196" s="48"/>
      <x:c r="P196" s="48"/>
      <x:c r="Q196" s="48"/>
      <x:c r="R196" s="48"/>
      <x:c r="S196" s="48"/>
      <x:c r="T196" s="48"/>
      <x:c r="U196" s="48"/>
      <x:c r="V196" s="48"/>
      <x:c r="W196" s="48"/>
      <x:c r="X196" s="48"/>
      <x:c r="Y196" s="48"/>
      <x:c r="Z196" s="48"/>
    </x:row>
    <x:row r="197">
      <x:c r="A197" s="48"/>
      <x:c r="B197" s="48"/>
      <x:c r="C197" s="48"/>
      <x:c r="D197" s="48"/>
      <x:c r="E197" s="48"/>
      <x:c r="F197" s="48"/>
      <x:c r="G197" s="48"/>
      <x:c r="H197" s="48"/>
      <x:c r="I197" s="48"/>
      <x:c r="J197" s="48"/>
      <x:c r="K197" s="48"/>
      <x:c r="L197" s="48"/>
      <x:c r="M197" s="48"/>
      <x:c r="N197" s="48"/>
      <x:c r="O197" s="48"/>
      <x:c r="P197" s="48"/>
      <x:c r="Q197" s="48"/>
      <x:c r="R197" s="48"/>
      <x:c r="S197" s="48"/>
      <x:c r="T197" s="48"/>
      <x:c r="U197" s="48"/>
      <x:c r="V197" s="48"/>
      <x:c r="W197" s="48"/>
      <x:c r="X197" s="48"/>
      <x:c r="Y197" s="48"/>
      <x:c r="Z197" s="48"/>
    </x:row>
    <x:row r="198">
      <x:c r="A198" s="48"/>
      <x:c r="B198" s="48"/>
      <x:c r="C198" s="48"/>
      <x:c r="D198" s="48"/>
      <x:c r="E198" s="48"/>
      <x:c r="F198" s="48"/>
      <x:c r="G198" s="48"/>
      <x:c r="H198" s="48"/>
      <x:c r="I198" s="48"/>
      <x:c r="J198" s="48"/>
      <x:c r="K198" s="48"/>
      <x:c r="L198" s="48"/>
      <x:c r="M198" s="48"/>
      <x:c r="N198" s="48"/>
      <x:c r="O198" s="48"/>
      <x:c r="P198" s="48"/>
      <x:c r="Q198" s="48"/>
      <x:c r="R198" s="48"/>
      <x:c r="S198" s="48"/>
      <x:c r="T198" s="48"/>
      <x:c r="U198" s="48"/>
      <x:c r="V198" s="48"/>
      <x:c r="W198" s="48"/>
      <x:c r="X198" s="48"/>
      <x:c r="Y198" s="48"/>
      <x:c r="Z198" s="48"/>
    </x:row>
    <x:row r="199">
      <x:c r="A199" s="48"/>
      <x:c r="B199" s="48"/>
      <x:c r="C199" s="48"/>
      <x:c r="D199" s="48"/>
      <x:c r="E199" s="48"/>
      <x:c r="F199" s="48"/>
      <x:c r="G199" s="48"/>
      <x:c r="H199" s="48"/>
      <x:c r="I199" s="48"/>
      <x:c r="J199" s="48"/>
      <x:c r="K199" s="48"/>
      <x:c r="L199" s="48"/>
      <x:c r="M199" s="48"/>
      <x:c r="N199" s="48"/>
      <x:c r="O199" s="48"/>
      <x:c r="P199" s="48"/>
      <x:c r="Q199" s="48"/>
      <x:c r="R199" s="48"/>
      <x:c r="S199" s="48"/>
      <x:c r="T199" s="48"/>
      <x:c r="U199" s="48"/>
      <x:c r="V199" s="48"/>
      <x:c r="W199" s="48"/>
      <x:c r="X199" s="48"/>
      <x:c r="Y199" s="48"/>
      <x:c r="Z199" s="48"/>
    </x:row>
    <x:row r="200">
      <x:c r="A200" s="48"/>
      <x:c r="B200" s="48"/>
      <x:c r="C200" s="48"/>
      <x:c r="D200" s="48"/>
      <x:c r="E200" s="48"/>
      <x:c r="F200" s="48"/>
      <x:c r="G200" s="48"/>
      <x:c r="H200" s="48"/>
      <x:c r="I200" s="48"/>
      <x:c r="J200" s="48"/>
      <x:c r="K200" s="48"/>
      <x:c r="L200" s="48"/>
      <x:c r="M200" s="48"/>
      <x:c r="N200" s="48"/>
      <x:c r="O200" s="48"/>
      <x:c r="P200" s="48"/>
      <x:c r="Q200" s="48"/>
      <x:c r="R200" s="48"/>
      <x:c r="S200" s="48"/>
      <x:c r="T200" s="48"/>
      <x:c r="U200" s="48"/>
      <x:c r="V200" s="48"/>
      <x:c r="W200" s="48"/>
      <x:c r="X200" s="48"/>
      <x:c r="Y200" s="48"/>
      <x:c r="Z200" s="48"/>
    </x:row>
  </x:sheetData>
  <x:pageMargins left="0.7" right="0.7" top="0.75" bottom="0.75" header="0.3" footer="0.3"/>
  <x:tableParts count="1">
    <x:tablePart xmlns:r="http://schemas.openxmlformats.org/officeDocument/2006/relationships" r:id="Re839909925574c7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26" hidden="0" customWidth="1"/>
    <x:col min="4" max="4" width="26" hidden="0" customWidth="1"/>
    <x:col min="5" max="5" width="48" hidden="0" customWidth="1"/>
    <x:col min="6" max="6" width="48" hidden="0" customWidth="1"/>
    <x:col min="7" max="7" width="72" hidden="0" customWidth="1"/>
    <x:col min="8" max="8" width="20" hidden="0" customWidth="1"/>
    <x:col min="9" max="9" width="58" hidden="0" customWidth="1"/>
    <x:col min="10" max="10" width="22" hidden="0" customWidth="1"/>
    <x:col min="11" max="11" width="13" hidden="0" customWidth="1"/>
    <x:col min="12" max="12" width="18" hidden="0" customWidth="1"/>
  </x:cols>
  <x:sheetData>
    <x:row r="1">
      <x:c r="A1" s="75" t="str">
        <x:v>product_id</x:v>
      </x:c>
      <x:c r="B1" s="75" t="str">
        <x:v>display_name</x:v>
      </x:c>
      <x:c r="C1" s="75" t="str">
        <x:v>reviewed_primary_use</x:v>
      </x:c>
      <x:c r="D1" s="75" t="str">
        <x:v>reviewed_plate_type</x:v>
      </x:c>
      <x:c r="E1" s="75" t="str">
        <x:v>review_source_1</x:v>
      </x:c>
      <x:c r="F1" s="75" t="str">
        <x:v>review_source_2</x:v>
      </x:c>
      <x:c r="G1" s="75" t="str">
        <x:v>review_consensus</x:v>
      </x:c>
      <x:c r="H1" s="75" t="str">
        <x:v>audit_result</x:v>
      </x:c>
      <x:c r="I1" s="75" t="str">
        <x:v>master_action</x:v>
      </x:c>
      <x:c r="J1" s="75" t="str">
        <x:v>score_action</x:v>
      </x:c>
      <x:c r="K1" s="75" t="str">
        <x:v>audit_date</x:v>
      </x:c>
      <x:c r="L1" s="75" t="str">
        <x:v>audit_version</x:v>
      </x:c>
    </x:row>
    <x:row r="2">
      <x:c r="A2" s="14" t="str">
        <x:v>nike_pegasus_42</x:v>
      </x:c>
      <x:c r="B2" s="14" t="str">
        <x:v>Nike Pegasus 42</x:v>
      </x:c>
      <x:c r="C2" s="14" t="str">
        <x:v>DAILY</x:v>
      </x:c>
      <x:c r="D2" s="14" t="str">
        <x:v>NONE</x:v>
      </x:c>
      <x:c r="E2" s="14" t="str">
        <x:v>https://runrepeat.com/nike-pegasus-42</x:v>
      </x:c>
      <x:c r="F2" s="14" t="str">
        <x:v>https://believeintherun.com/shoe-reviews/nike-pegasus-42-review/</x:v>
      </x:c>
      <x:c r="G2" s="14" t="str">
        <x:v>범용 데일리 트레이너라는 점은 일치. 편안한 갑피와 안정적인 일상 활용성이 강하지만 빠른 훈련용 반응성은 제한적.</x:v>
      </x:c>
      <x:c r="H2" s="14" t="str">
        <x:v>CONFIRMED</x:v>
      </x:c>
      <x:c r="I2" s="14" t="str">
        <x:v>유지</x:v>
      </x:c>
      <x:c r="J2" s="14" t="str">
        <x:v>WEB_RECHECKED</x:v>
      </x:c>
      <x:c r="K2" s="20" t="n">
        <x:v>46269</x:v>
      </x:c>
      <x:c r="L2" s="14" t="str">
        <x:v>web_audit_v1.1</x:v>
      </x:c>
    </x:row>
    <x:row r="3">
      <x:c r="A3" s="14" t="str">
        <x:v>nike_vomero_18</x:v>
      </x:c>
      <x:c r="B3" s="14" t="str">
        <x:v>Nike Vomero 18</x:v>
      </x:c>
      <x:c r="C3" s="14" t="str">
        <x:v>CUSHION_LONG</x:v>
      </x:c>
      <x:c r="D3" s="14" t="str">
        <x:v>NONE</x:v>
      </x:c>
      <x:c r="E3" s="14" t="str">
        <x:v>https://runrepeat.com/nike-vomero-18</x:v>
      </x:c>
      <x:c r="F3" s="14" t="str">
        <x:v>https://www.doctorsofrunning.com/nike-vomero-18-review-2025/</x:v>
      </x:c>
      <x:c r="G3" s="14" t="str">
        <x:v>맥스 쿠션·프리미엄 데일리/장거리 성격으로 두 리뷰가 대체로 일치. 빠른 페이스보다는 편안한 이지런·롱런 쪽이 강함.</x:v>
      </x:c>
      <x:c r="H3" s="14" t="str">
        <x:v>CONFIRMED</x:v>
      </x:c>
      <x:c r="I3" s="14" t="str">
        <x:v>유지</x:v>
      </x:c>
      <x:c r="J3" s="14" t="str">
        <x:v>NOT_SCORED_YET</x:v>
      </x:c>
      <x:c r="K3" s="20" t="n">
        <x:v>46269</x:v>
      </x:c>
      <x:c r="L3" s="14" t="str">
        <x:v>web_audit_v1.1</x:v>
      </x:c>
    </x:row>
    <x:row r="4">
      <x:c r="A4" s="14" t="str">
        <x:v>nike_structure_26</x:v>
      </x:c>
      <x:c r="B4" s="14" t="str">
        <x:v>Nike Structure 26</x:v>
      </x:c>
      <x:c r="C4" s="14" t="str">
        <x:v>STABILITY</x:v>
      </x:c>
      <x:c r="D4" s="14" t="str">
        <x:v>NONE</x:v>
      </x:c>
      <x:c r="E4" s="14" t="str">
        <x:v>https://runrepeat.com/nike-structure-26</x:v>
      </x:c>
      <x:c r="F4" s="14" t="str">
        <x:v>https://www.doctorsofrunning.com/nike-structure-26-review-2025/</x:v>
      </x:c>
      <x:c r="G4" s="14" t="str">
        <x:v>중등도 안정성 데일리 트레이너라는 평가가 일치. 별도 플레이트는 없고 ReactX + 지지 구조를 사용.</x:v>
      </x:c>
      <x:c r="H4" s="14" t="str">
        <x:v>CONFIRMED</x:v>
      </x:c>
      <x:c r="I4" s="14" t="str">
        <x:v>유지</x:v>
      </x:c>
      <x:c r="J4" s="14" t="str">
        <x:v>NOT_SCORED_YET</x:v>
      </x:c>
      <x:c r="K4" s="20" t="n">
        <x:v>46269</x:v>
      </x:c>
      <x:c r="L4" s="14" t="str">
        <x:v>web_audit_v1.1</x:v>
      </x:c>
    </x:row>
    <x:row r="5">
      <x:c r="A5" s="14" t="str">
        <x:v>nike_zoom_fly_6</x:v>
      </x:c>
      <x:c r="B5" s="14" t="str">
        <x:v>Nike Zoom Fly 6</x:v>
      </x:c>
      <x:c r="C5" s="14" t="str">
        <x:v>SPEED_TRAINING</x:v>
      </x:c>
      <x:c r="D5" s="14" t="str">
        <x:v>CARBON</x:v>
      </x:c>
      <x:c r="E5" s="14" t="str">
        <x:v>https://www.runrepeat.com/nike-zoom-fly-6</x:v>
      </x:c>
      <x:c r="F5" s="14" t="str">
        <x:v>https://www.doctorsofrunning.com/nike-zoom-fly-6-review-2024-release/</x:v>
      </x:c>
      <x:c r="G5" s="14" t="str">
        <x:v>카본 플레이트 기반 퍼포먼스/슈퍼트레이너. 템포·업템포·마라톤 워크아웃까지 폭넓음.</x:v>
      </x:c>
      <x:c r="H5" s="14" t="str">
        <x:v>CORRECTED</x:v>
      </x:c>
      <x:c r="I5" s="14" t="str">
        <x:v>plate_type: PLATED → CARBON</x:v>
      </x:c>
      <x:c r="J5" s="14" t="str">
        <x:v>NOT_SCORED_YET</x:v>
      </x:c>
      <x:c r="K5" s="20" t="n">
        <x:v>46269</x:v>
      </x:c>
      <x:c r="L5" s="14" t="str">
        <x:v>web_audit_v1.1</x:v>
      </x:c>
    </x:row>
    <x:row r="6">
      <x:c r="A6" s="14" t="str">
        <x:v>nike_alphafly_3</x:v>
      </x:c>
      <x:c r="B6" s="14" t="str">
        <x:v>Nike Alphafly 3</x:v>
      </x:c>
      <x:c r="C6" s="14" t="str">
        <x:v>RACE</x:v>
      </x:c>
      <x:c r="D6" s="14" t="str">
        <x:v>CARBON</x:v>
      </x:c>
      <x:c r="E6" s="14" t="str">
        <x:v>https://runrepeat.com/nike-alphafly-3</x:v>
      </x:c>
      <x:c r="F6" s="14" t="str">
        <x:v>https://www.doctorsofrunning.com/nike-alphafly-3-review-2024/</x:v>
      </x:c>
      <x:c r="G6" s="14" t="str">
        <x:v>마라톤 중심 최상급 레이스 슈즈라는 합의가 매우 강함. 속도·반응성은 최상위지만 데일리 범용성은 낮음.</x:v>
      </x:c>
      <x:c r="H6" s="14" t="str">
        <x:v>SCORE_ADJUSTED</x:v>
      </x:c>
      <x:c r="I6" s="14" t="str">
        <x:v>Race/Responsiveness 과도한 100점 완화</x:v>
      </x:c>
      <x:c r="J6" s="14" t="str">
        <x:v>WEB_RECHECKED</x:v>
      </x:c>
      <x:c r="K6" s="20" t="n">
        <x:v>46269</x:v>
      </x:c>
      <x:c r="L6" s="14" t="str">
        <x:v>web_audit_v1.1</x:v>
      </x:c>
    </x:row>
    <x:row r="7">
      <x:c r="A7" s="14" t="str">
        <x:v>adidas_supernova_rise_3</x:v>
      </x:c>
      <x:c r="B7" s="14" t="str">
        <x:v>Adidas Supernova Rise 3</x:v>
      </x:c>
      <x:c r="C7" s="14" t="str">
        <x:v>DAILY</x:v>
      </x:c>
      <x:c r="D7" s="14" t="str">
        <x:v>NONE</x:v>
      </x:c>
      <x:c r="E7" s="14" t="str">
        <x:v>https://runrepeat.com/adidas-supernova-rise-3</x:v>
      </x:c>
      <x:c r="F7" s="14" t="str">
        <x:v>https://www.doctorsofrunning.com/adidas-supernova-rise-3-review-2026/</x:v>
      </x:c>
      <x:c r="G7" s="14" t="str">
        <x:v>이지런·롱런 중심의 안정적인 데일리 트레이너로 일치. 빠른 템포에서는 한계가 있음.</x:v>
      </x:c>
      <x:c r="H7" s="14" t="str">
        <x:v>CONFIRMED</x:v>
      </x:c>
      <x:c r="I7" s="14" t="str">
        <x:v>유지</x:v>
      </x:c>
      <x:c r="J7" s="14" t="str">
        <x:v>NOT_SCORED_YET</x:v>
      </x:c>
      <x:c r="K7" s="20" t="n">
        <x:v>46269</x:v>
      </x:c>
      <x:c r="L7" s="14" t="str">
        <x:v>web_audit_v1.1</x:v>
      </x:c>
    </x:row>
    <x:row r="8">
      <x:c r="A8" s="14" t="str">
        <x:v>adidas_adizero_evo_sl</x:v>
      </x:c>
      <x:c r="B8" s="14" t="str">
        <x:v>Adidas Adizero EVO SL</x:v>
      </x:c>
      <x:c r="C8" s="14" t="str">
        <x:v>SPEED_TRAINING</x:v>
      </x:c>
      <x:c r="D8" s="14" t="str">
        <x:v>NYLON_SHANK</x:v>
      </x:c>
      <x:c r="E8" s="14" t="str">
        <x:v>https://runrepeat.com/adidas-adizero-evo-sl</x:v>
      </x:c>
      <x:c r="F8" s="14" t="str">
        <x:v>https://www.doctorsofrunning.com/adidas-adizero-evo-sl-review-2024/</x:v>
      </x:c>
      <x:c r="G8" s="14" t="str">
        <x:v>경량 퍼포먼스 트레이너/레이서라는 합의는 강하지만 '슈퍼트레이너'보다 fast training 역할이 GearMatch 분류에 더 선명함.</x:v>
      </x:c>
      <x:c r="H8" s="14" t="str">
        <x:v>CORRECTED</x:v>
      </x:c>
      <x:c r="I8" s="14" t="str">
        <x:v>primary_use: SUPER_TRAINER → SPEED_TRAINING</x:v>
      </x:c>
      <x:c r="J8" s="14" t="str">
        <x:v>NOT_SCORED_YET</x:v>
      </x:c>
      <x:c r="K8" s="20" t="n">
        <x:v>46269</x:v>
      </x:c>
      <x:c r="L8" s="14" t="str">
        <x:v>web_audit_v1.1</x:v>
      </x:c>
    </x:row>
    <x:row r="9">
      <x:c r="A9" s="14" t="str">
        <x:v>adidas_adios_pro_4</x:v>
      </x:c>
      <x:c r="B9" s="14" t="str">
        <x:v>Adidas Adizero Adios Pro 4</x:v>
      </x:c>
      <x:c r="C9" s="14" t="str">
        <x:v>RACE</x:v>
      </x:c>
      <x:c r="D9" s="14" t="str">
        <x:v>CARBON_RODS</x:v>
      </x:c>
      <x:c r="E9" s="14" t="str">
        <x:v>https://www.runrepeat.com/adidas-adizero-adios-pro-4</x:v>
      </x:c>
      <x:c r="F9" s="14" t="str">
        <x:v>https://www.doctorsofrunning.com/adidas-adizero-adios-pro-4-review-2024/</x:v>
      </x:c>
      <x:c r="G9" s="14" t="str">
        <x:v>공격적인 레이스 슈즈이며 full-length Carbon EnergyRods 2.0 사용. 일반 카본 플레이트 표기보다 rods가 정확.</x:v>
      </x:c>
      <x:c r="H9" s="14" t="str">
        <x:v>CORRECTED</x:v>
      </x:c>
      <x:c r="I9" s="14" t="str">
        <x:v>plate_type: CARBON → CARBON_RODS</x:v>
      </x:c>
      <x:c r="J9" s="14" t="str">
        <x:v>NOT_SCORED_YET</x:v>
      </x:c>
      <x:c r="K9" s="20" t="n">
        <x:v>46269</x:v>
      </x:c>
      <x:c r="L9" s="14" t="str">
        <x:v>web_audit_v1.1</x:v>
      </x:c>
    </x:row>
    <x:row r="10">
      <x:c r="A10" s="14" t="str">
        <x:v>nb_1080_v15</x:v>
      </x:c>
      <x:c r="B10" s="14" t="str">
        <x:v>New Balance Fresh Foam X 1080 v15</x:v>
      </x:c>
      <x:c r="C10" s="14" t="str">
        <x:v>CUSHION_LONG</x:v>
      </x:c>
      <x:c r="D10" s="14" t="str">
        <x:v>NONE</x:v>
      </x:c>
      <x:c r="E10" s="14" t="str">
        <x:v>https://www.runrepeat.com/new-balance-1080-v-15</x:v>
      </x:c>
      <x:c r="F10" s="14" t="str">
        <x:v>https://www.doctorsofrunning.com/new-balance-1080-v15-review-2026/?m=0</x:v>
      </x:c>
      <x:c r="G10" s="14" t="str">
        <x:v>프리미엄 데일리·장거리 쿠션화. v15는 더 가볍고 반응성이 좋아졌지만 매우 부드러운 폼으로 안정성은 제한적.</x:v>
      </x:c>
      <x:c r="H10" s="14" t="str">
        <x:v>CONFIRMED</x:v>
      </x:c>
      <x:c r="I10" s="14" t="str">
        <x:v>유지</x:v>
      </x:c>
      <x:c r="J10" s="14" t="str">
        <x:v>WEB_RECHECKED</x:v>
      </x:c>
      <x:c r="K10" s="20" t="n">
        <x:v>46269</x:v>
      </x:c>
      <x:c r="L10" s="14" t="str">
        <x:v>web_audit_v1.1</x:v>
      </x:c>
    </x:row>
    <x:row r="11">
      <x:c r="A11" s="14" t="str">
        <x:v>nb_880_v15</x:v>
      </x:c>
      <x:c r="B11" s="14" t="str">
        <x:v>New Balance Fresh Foam X 880 v15</x:v>
      </x:c>
      <x:c r="C11" s="14" t="str">
        <x:v>DAILY</x:v>
      </x:c>
      <x:c r="D11" s="14" t="str">
        <x:v>NONE</x:v>
      </x:c>
      <x:c r="E11" s="14" t="str">
        <x:v>https://believeintherun.com/shoe-reviews/new-balance-fresh-foam-880v15-review/</x:v>
      </x:c>
      <x:c r="F11" s="14" t="str">
        <x:v>https://www.doctorsofrunning.com/new-balance-fresh-foam-x-880-v15-review/</x:v>
      </x:c>
      <x:c r="G11" s="14" t="str">
        <x:v>전통적 데일리 마일리지용 트레이너라는 평가가 일치. 1080보다 단단하고 실용적인 성격.</x:v>
      </x:c>
      <x:c r="H11" s="14" t="str">
        <x:v>CONFIRMED</x:v>
      </x:c>
      <x:c r="I11" s="14" t="str">
        <x:v>유지</x:v>
      </x:c>
      <x:c r="J11" s="14" t="str">
        <x:v>NOT_SCORED_YET</x:v>
      </x:c>
      <x:c r="K11" s="20" t="n">
        <x:v>46269</x:v>
      </x:c>
      <x:c r="L11" s="14" t="str">
        <x:v>web_audit_v1.1</x:v>
      </x:c>
    </x:row>
    <x:row r="12">
      <x:c r="A12" s="14" t="str">
        <x:v>nb_860_v15</x:v>
      </x:c>
      <x:c r="B12" s="14" t="str">
        <x:v>New Balance Fresh Foam X 860 v15</x:v>
      </x:c>
      <x:c r="C12" s="14" t="str">
        <x:v>STABILITY</x:v>
      </x:c>
      <x:c r="D12" s="14" t="str">
        <x:v>STABILITY_PLATE</x:v>
      </x:c>
      <x:c r="E12" s="14" t="str">
        <x:v>https://runrepeat.com/new-balance-fresh-foam-x-860-v-15</x:v>
      </x:c>
      <x:c r="F12" s="14" t="str">
        <x:v>https://www.doctorsofrunning.com/new-balance-fresh-foam-x-860-v15-review/</x:v>
      </x:c>
      <x:c r="G12" s="14" t="str">
        <x:v>편안함이 강화된 안정성 데일리 트레이너. 플레이트/웨지 기반 안정 구조가 확인됨.</x:v>
      </x:c>
      <x:c r="H12" s="14" t="str">
        <x:v>CONFIRMED</x:v>
      </x:c>
      <x:c r="I12" s="14" t="str">
        <x:v>유지</x:v>
      </x:c>
      <x:c r="J12" s="14" t="str">
        <x:v>WEB_RECHECKED</x:v>
      </x:c>
      <x:c r="K12" s="20" t="n">
        <x:v>46269</x:v>
      </x:c>
      <x:c r="L12" s="14" t="str">
        <x:v>web_audit_v1.1</x:v>
      </x:c>
    </x:row>
    <x:row r="13">
      <x:c r="A13" s="14" t="str">
        <x:v>nb_sc_elite_v5</x:v>
      </x:c>
      <x:c r="B13" s="14" t="str">
        <x:v>New Balance FuelCell SuperComp Elite v5</x:v>
      </x:c>
      <x:c r="C13" s="14" t="str">
        <x:v>RACE</x:v>
      </x:c>
      <x:c r="D13" s="14" t="str">
        <x:v>CARBON</x:v>
      </x:c>
      <x:c r="E13" s="14" t="str">
        <x:v>https://runrepeat.com/new-balance-fuel-cell-super-comp-elite-v-5</x:v>
      </x:c>
      <x:c r="F13" s="14" t="str">
        <x:v>https://www.doctorsofrunning.com/new-balance-fuelcell-supercomp-elite-v5/</x:v>
      </x:c>
      <x:c r="G13" s="14" t="str">
        <x:v>장거리 레이스용 카본 슈즈라는 점은 일치하나, 최상위 경쟁 제품 대비 반응성이 다소 낮다는 평가가 반복됨.</x:v>
      </x:c>
      <x:c r="H13" s="14" t="str">
        <x:v>SCORE_ADJUSTED</x:v>
      </x:c>
      <x:c r="I13" s="14" t="str">
        <x:v>Responsiveness/Speed/Race 소폭 하향</x:v>
      </x:c>
      <x:c r="J13" s="14" t="str">
        <x:v>WEB_RECHECKED</x:v>
      </x:c>
      <x:c r="K13" s="20" t="n">
        <x:v>46269</x:v>
      </x:c>
      <x:c r="L13" s="14" t="str">
        <x:v>web_audit_v1.1</x:v>
      </x:c>
    </x:row>
    <x:row r="14">
      <x:c r="A14" s="14" t="str">
        <x:v>asics_gel_nimbus_28</x:v>
      </x:c>
      <x:c r="B14" s="14" t="str">
        <x:v>ASICS GEL-NIMBUS 28</x:v>
      </x:c>
      <x:c r="C14" s="14" t="str">
        <x:v>CUSHION_LONG</x:v>
      </x:c>
      <x:c r="D14" s="14" t="str">
        <x:v>NONE</x:v>
      </x:c>
      <x:c r="E14" s="14" t="str">
        <x:v>https://runrepeat.com/asics-gel-nimbus-28</x:v>
      </x:c>
      <x:c r="F14" s="14" t="str">
        <x:v>https://www.doctorsofrunning.com/asics-gel-nimbus-28-review-2026/</x:v>
      </x:c>
      <x:c r="G14" s="14" t="str">
        <x:v>프리미엄 맥스쿠션 데일리·이지런 성격. 가볍고 안정적인 편이나 에너지 리턴은 높지 않음.</x:v>
      </x:c>
      <x:c r="H14" s="14" t="str">
        <x:v>CONFIRMED</x:v>
      </x:c>
      <x:c r="I14" s="14" t="str">
        <x:v>유지</x:v>
      </x:c>
      <x:c r="J14" s="14" t="str">
        <x:v>WEB_RECHECKED</x:v>
      </x:c>
      <x:c r="K14" s="20" t="n">
        <x:v>46269</x:v>
      </x:c>
      <x:c r="L14" s="14" t="str">
        <x:v>web_audit_v1.1</x:v>
      </x:c>
    </x:row>
    <x:row r="15">
      <x:c r="A15" s="14" t="str">
        <x:v>asics_novablast_5</x:v>
      </x:c>
      <x:c r="B15" s="14" t="str">
        <x:v>ASICS NOVABLAST 5</x:v>
      </x:c>
      <x:c r="C15" s="14" t="str">
        <x:v>DAILY</x:v>
      </x:c>
      <x:c r="D15" s="14" t="str">
        <x:v>NONE</x:v>
      </x:c>
      <x:c r="E15" s="14" t="str">
        <x:v>https://runrepeat.com/asics-novablast-5</x:v>
      </x:c>
      <x:c r="F15" s="14" t="str">
        <x:v>https://www.doctorsofrunning.com/asics-novablast-5-review-2024/</x:v>
      </x:c>
      <x:c r="G15" s="14" t="str">
        <x:v>쿠션과 바운스를 겸한 퍼포먼스 데일리 트레이너. 이지·롱·업템포까지 넓게 커버.</x:v>
      </x:c>
      <x:c r="H15" s="14" t="str">
        <x:v>CONFIRMED</x:v>
      </x:c>
      <x:c r="I15" s="14" t="str">
        <x:v>유지</x:v>
      </x:c>
      <x:c r="J15" s="14" t="str">
        <x:v>NOT_SCORED_YET</x:v>
      </x:c>
      <x:c r="K15" s="20" t="n">
        <x:v>46269</x:v>
      </x:c>
      <x:c r="L15" s="14" t="str">
        <x:v>web_audit_v1.1</x:v>
      </x:c>
    </x:row>
    <x:row r="16">
      <x:c r="A16" s="14" t="str">
        <x:v>asics_superblast_3</x:v>
      </x:c>
      <x:c r="B16" s="14" t="str">
        <x:v>ASICS SUPERBLAST 3</x:v>
      </x:c>
      <x:c r="C16" s="14" t="str">
        <x:v>SUPER_TRAINER</x:v>
      </x:c>
      <x:c r="D16" s="14" t="str">
        <x:v>NONE</x:v>
      </x:c>
      <x:c r="E16" s="14" t="str">
        <x:v>https://runrepeat.com/asics-superblast-3</x:v>
      </x:c>
      <x:c r="F16" s="14" t="str">
        <x:v>https://www.doctorsofrunning.com/asics-superblast-3-review-2026/</x:v>
      </x:c>
      <x:c r="G16" s="14" t="str">
        <x:v>대표적인 슈퍼트레이너. 장거리와 업템포, 일부 레이스까지 폭넓게 커버하며 플레이트 없이 높은 반응성을 제공.</x:v>
      </x:c>
      <x:c r="H16" s="14" t="str">
        <x:v>CONFIRMED</x:v>
      </x:c>
      <x:c r="I16" s="14" t="str">
        <x:v>유지</x:v>
      </x:c>
      <x:c r="J16" s="14" t="str">
        <x:v>NOT_SCORED_YET</x:v>
      </x:c>
      <x:c r="K16" s="20" t="n">
        <x:v>46269</x:v>
      </x:c>
      <x:c r="L16" s="14" t="str">
        <x:v>web_audit_v1.1</x:v>
      </x:c>
    </x:row>
    <x:row r="17">
      <x:c r="A17" s="14" t="str">
        <x:v>saucony_ride_19</x:v>
      </x:c>
      <x:c r="B17" s="14" t="str">
        <x:v>Saucony Ride 19</x:v>
      </x:c>
      <x:c r="C17" s="14" t="str">
        <x:v>DAILY</x:v>
      </x:c>
      <x:c r="D17" s="14" t="str">
        <x:v>NONE</x:v>
      </x:c>
      <x:c r="E17" s="14" t="str">
        <x:v>https://runrepeat.com/saucony-ride-19</x:v>
      </x:c>
      <x:c r="F17" s="14" t="str">
        <x:v>https://www.doctorsofrunning.com/saucony-ride-19-review-2026/</x:v>
      </x:c>
      <x:c r="G17" s="14" t="str">
        <x:v>신뢰도 높은 데일리 트레이너. v19는 더 플러시해져 빠른 러닝의 날카로움은 일부 줄었지만 일상 활용성은 높음.</x:v>
      </x:c>
      <x:c r="H17" s="14" t="str">
        <x:v>MINOR_SCORE_ADJUST</x:v>
      </x:c>
      <x:c r="I17" s="14" t="str">
        <x:v>Versatility 90 → 85</x:v>
      </x:c>
      <x:c r="J17" s="14" t="str">
        <x:v>WEB_RECHECKED</x:v>
      </x:c>
      <x:c r="K17" s="20" t="n">
        <x:v>46269</x:v>
      </x:c>
      <x:c r="L17" s="14" t="str">
        <x:v>web_audit_v1.1</x:v>
      </x:c>
    </x:row>
    <x:row r="18">
      <x:c r="A18" s="14" t="str">
        <x:v>saucony_triumph_23</x:v>
      </x:c>
      <x:c r="B18" s="14" t="str">
        <x:v>Saucony Triumph 23</x:v>
      </x:c>
      <x:c r="C18" s="14" t="str">
        <x:v>CUSHION_LONG</x:v>
      </x:c>
      <x:c r="D18" s="14" t="str">
        <x:v>NONE</x:v>
      </x:c>
      <x:c r="E18" s="14" t="str">
        <x:v>https://runrepeat.com/saucony-triumph-23</x:v>
      </x:c>
      <x:c r="F18" s="14" t="str">
        <x:v>https://www.doctorsofrunning.com/saucony-triumph-23-review-2025/</x:v>
      </x:c>
      <x:c r="G18" s="14" t="str">
        <x:v>프리미엄 쿠션 데일리·롱런. v23은 이전보다 가볍고 반응성이 올라가 일부 업템포도 가능.</x:v>
      </x:c>
      <x:c r="H18" s="14" t="str">
        <x:v>CONFIRMED</x:v>
      </x:c>
      <x:c r="I18" s="14" t="str">
        <x:v>유지</x:v>
      </x:c>
      <x:c r="J18" s="14" t="str">
        <x:v>NOT_SCORED_YET</x:v>
      </x:c>
      <x:c r="K18" s="20" t="n">
        <x:v>46269</x:v>
      </x:c>
      <x:c r="L18" s="14" t="str">
        <x:v>web_audit_v1.1</x:v>
      </x:c>
    </x:row>
    <x:row r="19">
      <x:c r="A19" s="14" t="str">
        <x:v>saucony_guide_19</x:v>
      </x:c>
      <x:c r="B19" s="14" t="str">
        <x:v>Saucony Guide 19</x:v>
      </x:c>
      <x:c r="C19" s="14" t="str">
        <x:v>STABILITY</x:v>
      </x:c>
      <x:c r="D19" s="14" t="str">
        <x:v>NONE</x:v>
      </x:c>
      <x:c r="E19" s="14" t="str">
        <x:v>https://runrepeat.com/saucony-guide-19</x:v>
      </x:c>
      <x:c r="F19" s="14" t="str">
        <x:v>https://www.doctorsofrunning.com/saucony-guide-19-review-2026/</x:v>
      </x:c>
      <x:c r="G19" s="14" t="str">
        <x:v>가이던스 기반 안정성 데일리 트레이너. 빠른 러닝보다 이지·회복·일상 마일리지에 적합.</x:v>
      </x:c>
      <x:c r="H19" s="14" t="str">
        <x:v>CONFIRMED</x:v>
      </x:c>
      <x:c r="I19" s="14" t="str">
        <x:v>유지</x:v>
      </x:c>
      <x:c r="J19" s="14" t="str">
        <x:v>NOT_SCORED_YET</x:v>
      </x:c>
      <x:c r="K19" s="20" t="n">
        <x:v>46269</x:v>
      </x:c>
      <x:c r="L19" s="14" t="str">
        <x:v>web_audit_v1.1</x:v>
      </x:c>
    </x:row>
    <x:row r="20">
      <x:c r="A20" s="14" t="str">
        <x:v>saucony_endorphin_speed_5</x:v>
      </x:c>
      <x:c r="B20" s="14" t="str">
        <x:v>Saucony Endorphin Speed 5</x:v>
      </x:c>
      <x:c r="C20" s="14" t="str">
        <x:v>SPEED_TRAINING</x:v>
      </x:c>
      <x:c r="D20" s="14" t="str">
        <x:v>NYLON</x:v>
      </x:c>
      <x:c r="E20" s="14" t="str">
        <x:v>https://runrepeat.com/saucony-endorphin-speed-5</x:v>
      </x:c>
      <x:c r="F20" s="14" t="str">
        <x:v>https://www.doctorsofrunning.com/saucony-endorphin-speed-5-review-2025/</x:v>
      </x:c>
      <x:c r="G20" s="14" t="str">
        <x:v>나일론 플레이트 퍼포먼스 트레이너/레이서. 다양한 페이스와 장거리 워크아웃까지 매우 범용적.</x:v>
      </x:c>
      <x:c r="H20" s="14" t="str">
        <x:v>CONFIRMED</x:v>
      </x:c>
      <x:c r="I20" s="14" t="str">
        <x:v>유지</x:v>
      </x:c>
      <x:c r="J20" s="14" t="str">
        <x:v>WEB_RECHECKED</x:v>
      </x:c>
      <x:c r="K20" s="20" t="n">
        <x:v>46269</x:v>
      </x:c>
      <x:c r="L20" s="14" t="str">
        <x:v>web_audit_v1.1</x:v>
      </x:c>
    </x:row>
    <x:row r="21">
      <x:c r="A21" s="14" t="str">
        <x:v>saucony_endorphin_pro_5</x:v>
      </x:c>
      <x:c r="B21" s="14" t="str">
        <x:v>Saucony Endorphin Pro 5</x:v>
      </x:c>
      <x:c r="C21" s="14" t="str">
        <x:v>RACE</x:v>
      </x:c>
      <x:c r="D21" s="14" t="str">
        <x:v>CARBON</x:v>
      </x:c>
      <x:c r="E21" s="14" t="str">
        <x:v>https://www.runrepeat.com/saucony-endorphin-pro-5</x:v>
      </x:c>
      <x:c r="F21" s="14" t="str">
        <x:v>https://www.doctorsofrunning.com/saucony-endorphin-pro-5-review-2026/</x:v>
      </x:c>
      <x:c r="G21" s="14" t="str">
        <x:v>레이스/워크아웃용 카본 슈즈. 다른 슈퍼슈즈보다 비교적 안정적이며 트레이너 겸용 가능성이 있음.</x:v>
      </x:c>
      <x:c r="H21" s="14" t="str">
        <x:v>CONFIRMED</x:v>
      </x:c>
      <x:c r="I21" s="14" t="str">
        <x:v>유지</x:v>
      </x:c>
      <x:c r="J21" s="14" t="str">
        <x:v>NOT_SCORED_YET</x:v>
      </x:c>
      <x:c r="K21" s="20" t="n">
        <x:v>46269</x:v>
      </x:c>
      <x:c r="L21" s="14" t="str">
        <x:v>web_audit_v1.1</x:v>
      </x:c>
    </x:row>
    <x:row r="22">
      <x:c r="A22" s="14" t="str">
        <x:v>mizuno_wave_rider_29</x:v>
      </x:c>
      <x:c r="B22" s="14" t="str">
        <x:v>Mizuno Wave Rider 29</x:v>
      </x:c>
      <x:c r="C22" s="14" t="str">
        <x:v>DAILY</x:v>
      </x:c>
      <x:c r="D22" s="14" t="str">
        <x:v>PEBAX_WAVE_PLATE</x:v>
      </x:c>
      <x:c r="E22" s="14" t="str">
        <x:v>https://runrepeat.com/mizuno-wave-rider-29</x:v>
      </x:c>
      <x:c r="F22" s="14" t="str">
        <x:v>https://www.doctorsofrunning.com/mizuno-wave-rider-29-review-2025/</x:v>
      </x:c>
      <x:c r="G22" s="14" t="str">
        <x:v>Daily 역할과 Plate Fact는 일치. 다만 platform stability 평가는 RunRepeat의 높은 안정성 평가와 DOR의 '이전보다 더 neutral' 평가가 엇갈림.</x:v>
      </x:c>
      <x:c r="H22" s="14" t="str">
        <x:v>REVIEW_CONFLICT</x:v>
      </x:c>
      <x:c r="I22" s="14" t="str">
        <x:v>stability score는 추가 검증 전 확정 금지</x:v>
      </x:c>
      <x:c r="J22" s="14" t="str">
        <x:v>HOLD_FOR_REVIEW</x:v>
      </x:c>
      <x:c r="K22" s="20" t="n">
        <x:v>46269</x:v>
      </x:c>
      <x:c r="L22" s="14" t="str">
        <x:v>web_audit_v1.1</x:v>
      </x:c>
    </x:row>
    <x:row r="23">
      <x:c r="A23" s="14" t="str">
        <x:v>mizuno_wave_inspire_22</x:v>
      </x:c>
      <x:c r="B23" s="14" t="str">
        <x:v>Mizuno Wave Inspire 22</x:v>
      </x:c>
      <x:c r="C23" s="14" t="str">
        <x:v>STABILITY</x:v>
      </x:c>
      <x:c r="D23" s="14" t="str">
        <x:v>WAVE_PLATE</x:v>
      </x:c>
      <x:c r="E23" s="14" t="str">
        <x:v>https://runrepeat.com/mizuno-wave-inspire-22</x:v>
      </x:c>
      <x:c r="F23" s="14" t="str">
        <x:v>https://www.doctorsofrunning.com/mizuno-wave-inspire-22-quick-evaluation/</x:v>
      </x:c>
      <x:c r="G23" s="14" t="str">
        <x:v>Wave Plate 기반 안정성 데일리 트레이너라는 평가가 일치. 반응성보다는 지지·내구성이 강함.</x:v>
      </x:c>
      <x:c r="H23" s="14" t="str">
        <x:v>CONFIRMED</x:v>
      </x:c>
      <x:c r="I23" s="14" t="str">
        <x:v>유지</x:v>
      </x:c>
      <x:c r="J23" s="14" t="str">
        <x:v>NOT_SCORED_YET</x:v>
      </x:c>
      <x:c r="K23" s="20" t="n">
        <x:v>46269</x:v>
      </x:c>
      <x:c r="L23" s="14" t="str">
        <x:v>web_audit_v1.1</x:v>
      </x:c>
    </x:row>
    <x:row r="24">
      <x:c r="A24" s="14" t="str">
        <x:v>mizuno_wave_sky_9</x:v>
      </x:c>
      <x:c r="B24" s="14" t="str">
        <x:v>Mizuno Wave Sky 9</x:v>
      </x:c>
      <x:c r="C24" s="14" t="str">
        <x:v>CUSHION_LONG</x:v>
      </x:c>
      <x:c r="D24" s="14" t="str">
        <x:v>NONE</x:v>
      </x:c>
      <x:c r="E24" s="14" t="str">
        <x:v>https://runrepeat.com/mizuno-wave-sky-9</x:v>
      </x:c>
      <x:c r="F24" s="14" t="str">
        <x:v>https://www.doctorsofrunning.com/mizuno-wave-sky-9-review-2025/</x:v>
      </x:c>
      <x:c r="G24" s="14" t="str">
        <x:v>CUSHION_LONG 역할은 유지 가능하지만 comfort/long-run 체감은 리뷰 간 차이가 있음. 부드럽고 장거리 적합하다는 평가와 단단하고 clunky하다는 평가가 공존.</x:v>
      </x:c>
      <x:c r="H24" s="14" t="str">
        <x:v>REVIEW_CONFLICT</x:v>
      </x:c>
      <x:c r="I24" s="14" t="str">
        <x:v>comfort / long_run score는 추가 검증 필요</x:v>
      </x:c>
      <x:c r="J24" s="14" t="str">
        <x:v>HOLD_FOR_REVIEW</x:v>
      </x:c>
      <x:c r="K24" s="20" t="n">
        <x:v>46269</x:v>
      </x:c>
      <x:c r="L24" s="14" t="str">
        <x:v>web_audit_v1.1</x:v>
      </x:c>
    </x:row>
    <x:row r="25">
      <x:c r="A25" s="14" t="str">
        <x:v>mizuno_rebellion_flash_3</x:v>
      </x:c>
      <x:c r="B25" s="14" t="str">
        <x:v>Mizuno Wave Rebellion Flash 3</x:v>
      </x:c>
      <x:c r="C25" s="14" t="str">
        <x:v>SUPER_TRAINER</x:v>
      </x:c>
      <x:c r="D25" s="14" t="str">
        <x:v>NYLON_FIBERGLASS_PLATE</x:v>
      </x:c>
      <x:c r="E25" s="14" t="str">
        <x:v>https://runrepeat.com/mizuno-wave-rebellion-flash-3</x:v>
      </x:c>
      <x:c r="F25" s="14" t="str">
        <x:v>https://www.doctorsofrunning.com/mizuno-wave-rebellion-flash-3-review/</x:v>
      </x:c>
      <x:c r="G25" s="14" t="str">
        <x:v>플레이트 퍼포먼스 트레이너. 유리섬유 강화 나일론 플레이트이며 이지~템포까지 넓게 사용 가능.</x:v>
      </x:c>
      <x:c r="H25" s="14" t="str">
        <x:v>CORRECTED</x:v>
      </x:c>
      <x:c r="I25" s="14" t="str">
        <x:v>plate_type 세분화</x:v>
      </x:c>
      <x:c r="J25" s="14" t="str">
        <x:v>WEB_RECHECKED</x:v>
      </x:c>
      <x:c r="K25" s="20" t="n">
        <x:v>46269</x:v>
      </x:c>
      <x:c r="L25" s="14" t="str">
        <x:v>web_audit_v1.1</x:v>
      </x:c>
    </x:row>
    <x:row r="26">
      <x:c r="A26" s="14" t="str">
        <x:v>mizuno_rebellion_pro_3</x:v>
      </x:c>
      <x:c r="B26" s="14" t="str">
        <x:v>Mizuno Wave Rebellion Pro 3</x:v>
      </x:c>
      <x:c r="C26" s="14" t="str">
        <x:v>RACE</x:v>
      </x:c>
      <x:c r="D26" s="14" t="str">
        <x:v>CARBON_INFUSED_NYLON_WAVE_PLATE</x:v>
      </x:c>
      <x:c r="E26" s="14" t="str">
        <x:v>https://runrepeat.com/mizuno-wave-rebellion-pro-3</x:v>
      </x:c>
      <x:c r="F26" s="14" t="str">
        <x:v>https://www.doctorsofrunning.com/mizuno-wave-rebellion-pro-3-review-2025/</x:v>
      </x:c>
      <x:c r="G26" s="14" t="str">
        <x:v>매우 특화된 장거리 레이스 슈즈. 순수 full-carbon plate가 아니라 carbon-fiber infused nylon WAVE Plate.</x:v>
      </x:c>
      <x:c r="H26" s="14" t="str">
        <x:v>CORRECTED</x:v>
      </x:c>
      <x:c r="I26" s="14" t="str">
        <x:v>plate_type: CARBON → CARBON_INFUSED_NYLON_WAVE_PLATE</x:v>
      </x:c>
      <x:c r="J26" s="14" t="str">
        <x:v>NOT_SCORED_YET</x:v>
      </x:c>
      <x:c r="K26" s="20" t="n">
        <x:v>46269</x:v>
      </x:c>
      <x:c r="L26" s="14" t="str">
        <x:v>web_audit_v1.1</x:v>
      </x:c>
    </x:row>
    <x:row r="27">
      <x:c r="A27" s="14" t="str">
        <x:v>puma_velocity_nitro_4</x:v>
      </x:c>
      <x:c r="B27" s="14" t="str">
        <x:v>PUMA Velocity NITRO 4</x:v>
      </x:c>
      <x:c r="C27" s="14" t="str">
        <x:v>DAILY</x:v>
      </x:c>
      <x:c r="D27" s="14" t="str">
        <x:v>NONE</x:v>
      </x:c>
      <x:c r="E27" s="14" t="str">
        <x:v>https://runrepeat.com/puma-velocity-nitro-4</x:v>
      </x:c>
      <x:c r="F27" s="14" t="str">
        <x:v>https://www.doctorsofrunning.com/puma-velocity-nitro-4-review-2025/</x:v>
      </x:c>
      <x:c r="G27" s="14" t="str">
        <x:v>가볍고 반응성 높은 데일리/퍼포먼스 트레이너. 짧고 중간 거리·템포에는 강하지만 롱런 특화는 아님.</x:v>
      </x:c>
      <x:c r="H27" s="14" t="str">
        <x:v>CORRECTED</x:v>
      </x:c>
      <x:c r="I27" s="14" t="str">
        <x:v>secondary_use: CUSHION_LONG → SPEED_TRAINING</x:v>
      </x:c>
      <x:c r="J27" s="14" t="str">
        <x:v>NOT_SCORED_YET</x:v>
      </x:c>
      <x:c r="K27" s="20" t="n">
        <x:v>46269</x:v>
      </x:c>
      <x:c r="L27" s="14" t="str">
        <x:v>web_audit_v1.1</x:v>
      </x:c>
    </x:row>
    <x:row r="28">
      <x:c r="A28" s="14" t="str">
        <x:v>puma_magmax_nitro_2</x:v>
      </x:c>
      <x:c r="B28" s="14" t="str">
        <x:v>PUMA MagMax NITRO 2</x:v>
      </x:c>
      <x:c r="C28" s="14" t="str">
        <x:v>CUSHION_LONG</x:v>
      </x:c>
      <x:c r="D28" s="14" t="str">
        <x:v>NONE</x:v>
      </x:c>
      <x:c r="E28" s="14" t="str">
        <x:v>https://runrepeat.com/puma-mag-max-nitro-2</x:v>
      </x:c>
      <x:c r="F28" s="14" t="str">
        <x:v>https://www.doctorsofrunning.com/puma-magmax-nitro-2-review-2026/</x:v>
      </x:c>
      <x:c r="G28" s="14" t="str">
        <x:v>CUSHION_LONG 역할은 합의되지만 responsiveness는 리뷰가 엇갈림. 낮은 lab energy return과 bouncy/uptempo 가능 평가가 공존.</x:v>
      </x:c>
      <x:c r="H28" s="14" t="str">
        <x:v>REVIEW_CONFLICT</x:v>
      </x:c>
      <x:c r="I28" s="14" t="str">
        <x:v>responsiveness score는 추가 검증 필요</x:v>
      </x:c>
      <x:c r="J28" s="14" t="str">
        <x:v>HOLD_FOR_REVIEW</x:v>
      </x:c>
      <x:c r="K28" s="20" t="n">
        <x:v>46269</x:v>
      </x:c>
      <x:c r="L28" s="14" t="str">
        <x:v>web_audit_v1.1</x:v>
      </x:c>
    </x:row>
    <x:row r="29">
      <x:c r="A29" s="14" t="str">
        <x:v>puma_foreverrun_nitro_2_wide</x:v>
      </x:c>
      <x:c r="B29" s="14" t="str">
        <x:v>PUMA ForeverRun NITRO 2 Wide</x:v>
      </x:c>
      <x:c r="C29" s="14" t="str">
        <x:v>STABILITY</x:v>
      </x:c>
      <x:c r="D29" s="14" t="str">
        <x:v>NONE</x:v>
      </x:c>
      <x:c r="E29" s="14" t="str">
        <x:v>https://runrepeat.com/puma-foreverrun-nitro-2</x:v>
      </x:c>
      <x:c r="F29" s="14" t="str">
        <x:v>https://www.doctorsofrunning.com/puma-foreverrun-nitro-2-review-2025/</x:v>
      </x:c>
      <x:c r="G29" s="14" t="str">
        <x:v>가이던스/안정성 중심 데일리 트레이너. 편안한 이지·장거리 성격과 안정 구조가 일치.</x:v>
      </x:c>
      <x:c r="H29" s="14" t="str">
        <x:v>CONFIRMED</x:v>
      </x:c>
      <x:c r="I29" s="14" t="str">
        <x:v>유지</x:v>
      </x:c>
      <x:c r="J29" s="14" t="str">
        <x:v>NOT_SCORED_YET</x:v>
      </x:c>
      <x:c r="K29" s="20" t="n">
        <x:v>46269</x:v>
      </x:c>
      <x:c r="L29" s="14" t="str">
        <x:v>web_audit_v1.1</x:v>
      </x:c>
    </x:row>
    <x:row r="30">
      <x:c r="A30" s="14" t="str">
        <x:v>puma_deviate_nitro_4</x:v>
      </x:c>
      <x:c r="B30" s="14" t="str">
        <x:v>PUMA Deviate NITRO 4</x:v>
      </x:c>
      <x:c r="C30" s="14" t="str">
        <x:v>SPEED_TRAINING</x:v>
      </x:c>
      <x:c r="D30" s="14" t="str">
        <x:v>CARBON_COMPOSITE</x:v>
      </x:c>
      <x:c r="E30" s="14" t="str">
        <x:v>https://runrepeat.com/puma-deviate-nitro-4</x:v>
      </x:c>
      <x:c r="F30" s="14" t="str">
        <x:v>https://www.doctorsofrunning.com/puma-deviate-nitro-4-review-2026/</x:v>
      </x:c>
      <x:c r="G30" s="14" t="str">
        <x:v>업템포/템포 중심 퍼포먼스 트레이너라는 평가가 일치. Super-trainer보다 SPEED_TRAINING primary가 MVP Direction과 더 정합적.</x:v>
      </x:c>
      <x:c r="H30" s="14" t="str">
        <x:v>CORRECTED</x:v>
      </x:c>
      <x:c r="I30" s="14" t="str">
        <x:v>primary_use: SUPER_TRAINER → SPEED_TRAINING</x:v>
      </x:c>
      <x:c r="J30" s="14" t="str">
        <x:v>RECALIBRATED_V1_1</x:v>
      </x:c>
      <x:c r="K30" s="20" t="n">
        <x:v>46269</x:v>
      </x:c>
      <x:c r="L30" s="14" t="str">
        <x:v>web_audit_v1.1</x:v>
      </x:c>
    </x:row>
    <x:row r="31">
      <x:c r="A31" s="14" t="str">
        <x:v>puma_fast_r_elite_3</x:v>
      </x:c>
      <x:c r="B31" s="14" t="str">
        <x:v>PUMA Fast-R NITRO Elite 3</x:v>
      </x:c>
      <x:c r="C31" s="14" t="str">
        <x:v>RACE</x:v>
      </x:c>
      <x:c r="D31" s="14" t="str">
        <x:v>CARBON</x:v>
      </x:c>
      <x:c r="E31" s="14" t="str">
        <x:v>https://www.runrepeat.com/puma-fast-r-nitro-elite-3</x:v>
      </x:c>
      <x:c r="F31" s="14" t="str">
        <x:v>https://www.doctorsofrunning.com/puma-fast-r-nitro-elite-3-review-2025/</x:v>
      </x:c>
      <x:c r="G31" s="14" t="str">
        <x:v>매우 공격적인 최상급 레이스 슈즈. 속도와 에너지 리턴은 탁월하지만 안정성·범용성은 낮음.</x:v>
      </x:c>
      <x:c r="H31" s="14" t="str">
        <x:v>CONFIRMED</x:v>
      </x:c>
      <x:c r="I31" s="14" t="str">
        <x:v>유지</x:v>
      </x:c>
      <x:c r="J31" s="14" t="str">
        <x:v>NOT_SCORED_YET</x:v>
      </x:c>
      <x:c r="K31" s="20" t="n">
        <x:v>46269</x:v>
      </x:c>
      <x:c r="L31" s="14" t="str">
        <x:v>web_audit_v1.1</x:v>
      </x:c>
    </x:row>
    <x:row r="32">
      <x:c r="A32" s="14" t="str">
        <x:v>on_cloudrunner_3</x:v>
      </x:c>
      <x:c r="B32" s="14" t="str">
        <x:v>On Cloudrunner 3</x:v>
      </x:c>
      <x:c r="C32" s="14" t="str">
        <x:v>STABILITY</x:v>
      </x:c>
      <x:c r="D32" s="14" t="str">
        <x:v>NONE</x:v>
      </x:c>
      <x:c r="E32" s="14" t="str">
        <x:v>https://runrepeat.com/on-cloudrunner-3</x:v>
      </x:c>
      <x:c r="F32" s="14" t="str">
        <x:v>https://www.doctorsofrunning.com/on-cloudrunner-3-review-2026/</x:v>
      </x:c>
      <x:c r="G32" s="14" t="str">
        <x:v>마일드~모더레이트 안정성 데일리/워킹 슈즈. 속도보다는 지지·편안함 중심.</x:v>
      </x:c>
      <x:c r="H32" s="14" t="str">
        <x:v>CONFIRMED</x:v>
      </x:c>
      <x:c r="I32" s="14" t="str">
        <x:v>유지</x:v>
      </x:c>
      <x:c r="J32" s="14" t="str">
        <x:v>NOT_SCORED_YET</x:v>
      </x:c>
      <x:c r="K32" s="20" t="n">
        <x:v>46269</x:v>
      </x:c>
      <x:c r="L32" s="14" t="str">
        <x:v>web_audit_v1.1</x:v>
      </x:c>
    </x:row>
    <x:row r="33">
      <x:c r="A33" s="14" t="str">
        <x:v>on_cloudsurfer_2</x:v>
      </x:c>
      <x:c r="B33" s="14" t="str">
        <x:v>On Cloudsurfer 2</x:v>
      </x:c>
      <x:c r="C33" s="14" t="str">
        <x:v>DAILY</x:v>
      </x:c>
      <x:c r="D33" s="14" t="str">
        <x:v>NONE</x:v>
      </x:c>
      <x:c r="E33" s="14" t="str">
        <x:v>https://www.runrepeat.com/on-cloudsurfer-2</x:v>
      </x:c>
      <x:c r="F33" s="14" t="str">
        <x:v>https://www.youtube.com/watch?v=OVgkARVWL38</x:v>
      </x:c>
      <x:c r="G33" s="14" t="str">
        <x:v>프리미엄 데일리 트레이너. 편안함과 일상·롱런 활용은 좋지만 빠른 페이스 반응성은 낮음.</x:v>
      </x:c>
      <x:c r="H33" s="14" t="str">
        <x:v>CONFIRMED</x:v>
      </x:c>
      <x:c r="I33" s="14" t="str">
        <x:v>유지</x:v>
      </x:c>
      <x:c r="J33" s="14" t="str">
        <x:v>NOT_SCORED_YET</x:v>
      </x:c>
      <x:c r="K33" s="20" t="n">
        <x:v>46269</x:v>
      </x:c>
      <x:c r="L33" s="14" t="str">
        <x:v>web_audit_v1.1</x:v>
      </x:c>
    </x:row>
    <x:row r="34">
      <x:c r="A34" s="14" t="str">
        <x:v>on_cloudmonster_3</x:v>
      </x:c>
      <x:c r="B34" s="14" t="str">
        <x:v>On Cloudmonster 3</x:v>
      </x:c>
      <x:c r="C34" s="14" t="str">
        <x:v>DAILY</x:v>
      </x:c>
      <x:c r="D34" s="14" t="str">
        <x:v>TPU_SPEEDBOARD</x:v>
      </x:c>
      <x:c r="E34" s="14" t="str">
        <x:v>https://runrepeat.com/on-cloudmonster-3</x:v>
      </x:c>
      <x:c r="F34" s="14" t="str">
        <x:v>https://www.doctorsofrunning.com/on-cloudmonster-3-review-2026/</x:v>
      </x:c>
      <x:c r="G34" s="14" t="str">
        <x:v>리뷰들은 Daily Trainer로 분류. 맥스스택·쿠션 성격은 있으나 PRIMARY를 CUSHION_LONG으로 두기보다 DAILY가 더 일관적. TPU Speedboard 존재.</x:v>
      </x:c>
      <x:c r="H34" s="14" t="str">
        <x:v>CORRECTED</x:v>
      </x:c>
      <x:c r="I34" s="14" t="str">
        <x:v>primary_use: CUSHION_LONG → DAILY / plate_type: NONE → TPU_SPEEDBOARD</x:v>
      </x:c>
      <x:c r="J34" s="14" t="str">
        <x:v>NOT_SCORED_YET</x:v>
      </x:c>
      <x:c r="K34" s="20" t="n">
        <x:v>46269</x:v>
      </x:c>
      <x:c r="L34" s="14" t="str">
        <x:v>web_audit_v1.1</x:v>
      </x:c>
    </x:row>
    <x:row r="35">
      <x:c r="A35" s="14" t="str">
        <x:v>on_cloudflow_5</x:v>
      </x:c>
      <x:c r="B35" s="14" t="str">
        <x:v>On Cloudflow 5</x:v>
      </x:c>
      <x:c r="C35" s="14" t="str">
        <x:v>SPEED_TRAINING</x:v>
      </x:c>
      <x:c r="D35" s="14" t="str">
        <x:v>NYLON_FIBERGLASS_SPEEDBOARD</x:v>
      </x:c>
      <x:c r="E35" s="14" t="str">
        <x:v>https://runrepeat.com/on-cloudflow-5</x:v>
      </x:c>
      <x:c r="F35" s="14" t="str">
        <x:v>https://www.runningshoesguru.com/reviews/road/on-cloudflow-5-review/</x:v>
      </x:c>
      <x:c r="G35" s="14" t="str">
        <x:v>용도는 템포/스피드 훈련으로 일치하지만 성능 평가는 상충: RunRepeat는 낮은 에너지 리턴, RunningShoesGuru는 반응성 높게 평가.</x:v>
      </x:c>
      <x:c r="H35" s="14" t="str">
        <x:v>REVIEW_CONFLICT</x:v>
      </x:c>
      <x:c r="I35" s="14" t="str">
        <x:v>용도 유지 / plate_type 세분화 / Score는 추가 검증 필요</x:v>
      </x:c>
      <x:c r="J35" s="14" t="str">
        <x:v>HOLD_FOR_REVIEW</x:v>
      </x:c>
      <x:c r="K35" s="20" t="n">
        <x:v>46269</x:v>
      </x:c>
      <x:c r="L35" s="14" t="str">
        <x:v>web_audit_v1.1</x:v>
      </x:c>
    </x:row>
    <x:row r="36">
      <x:c r="A36" s="14" t="str">
        <x:v>on_cloudboom_strike</x:v>
      </x:c>
      <x:c r="B36" s="14" t="str">
        <x:v>On Cloudboom Strike</x:v>
      </x:c>
      <x:c r="C36" s="14" t="str">
        <x:v>RACE</x:v>
      </x:c>
      <x:c r="D36" s="14" t="str">
        <x:v>CARBON_SPEEDBOARD</x:v>
      </x:c>
      <x:c r="E36" s="14" t="str">
        <x:v>https://www.runrepeat.com/on-cloudboom-strike</x:v>
      </x:c>
      <x:c r="F36" s="14" t="str">
        <x:v>https://www.doctorsofrunning.com/on-cloudboom-strike-review-2024-their/</x:v>
      </x:c>
      <x:c r="G36" s="14" t="str">
        <x:v>카본 Speedboard 기반 레이스 슈즈. 5K~마라톤까지 활용 가능하나 안정성은 제한적.</x:v>
      </x:c>
      <x:c r="H36" s="14" t="str">
        <x:v>CORRECTED</x:v>
      </x:c>
      <x:c r="I36" s="14" t="str">
        <x:v>plate_type: SPEEDBOARD → CARBON_SPEEDBOARD</x:v>
      </x:c>
      <x:c r="J36" s="14" t="str">
        <x:v>NOT_SCORED_YET</x:v>
      </x:c>
      <x:c r="K36" s="20" t="n">
        <x:v>46269</x:v>
      </x:c>
      <x:c r="L36" s="14" t="str">
        <x:v>web_audit_v1.1</x:v>
      </x:c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20"/>
      <x:c r="L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20"/>
      <x:c r="L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20"/>
      <x:c r="L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20"/>
      <x:c r="L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20"/>
      <x:c r="L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20"/>
      <x:c r="L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20"/>
      <x:c r="L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20"/>
      <x:c r="L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20"/>
      <x:c r="L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20"/>
      <x:c r="L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20"/>
      <x:c r="L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20"/>
      <x:c r="L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20"/>
      <x:c r="L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20"/>
      <x:c r="L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20"/>
      <x:c r="L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20"/>
      <x:c r="L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20"/>
      <x:c r="L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20"/>
      <x:c r="L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20"/>
      <x:c r="L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20"/>
      <x:c r="L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20"/>
      <x:c r="L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20"/>
      <x:c r="L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20"/>
      <x:c r="L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20"/>
      <x:c r="L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20"/>
      <x:c r="L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20"/>
      <x:c r="L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20"/>
      <x:c r="L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20"/>
      <x:c r="L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20"/>
      <x:c r="L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20"/>
      <x:c r="L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20"/>
      <x:c r="L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20"/>
      <x:c r="L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20"/>
      <x:c r="L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20"/>
      <x:c r="L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20"/>
      <x:c r="L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20"/>
      <x:c r="L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20"/>
      <x:c r="L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20"/>
      <x:c r="L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20"/>
      <x:c r="L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20"/>
      <x:c r="L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20"/>
      <x:c r="L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20"/>
      <x:c r="L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20"/>
      <x:c r="L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20"/>
      <x:c r="L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20"/>
      <x:c r="L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20"/>
      <x:c r="L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20"/>
      <x:c r="L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20"/>
      <x:c r="L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20"/>
      <x:c r="L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20"/>
      <x:c r="L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20"/>
      <x:c r="L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20"/>
      <x:c r="L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20"/>
      <x:c r="L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20"/>
      <x:c r="L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20"/>
      <x:c r="L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20"/>
      <x:c r="L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20"/>
      <x:c r="L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20"/>
      <x:c r="L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20"/>
      <x:c r="L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20"/>
      <x:c r="L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20"/>
      <x:c r="L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20"/>
      <x:c r="L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20"/>
      <x:c r="L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20"/>
      <x:c r="L100" s="14"/>
    </x:row>
  </x:sheetData>
  <x:conditionalFormatting sqref="H2:H100">
    <x:cfRule type="expression" dxfId="4" priority="1">
      <x:formula>H2="CORRECTED"</x:formula>
    </x:cfRule>
    <x:cfRule type="expression" dxfId="5" priority="2">
      <x:formula>H2="SCORE_ADJUSTED"</x:formula>
    </x:cfRule>
    <x:cfRule type="expression" dxfId="6" priority="3">
      <x:formula>H2="REVIEW_CONFLICT"</x:formula>
    </x:cfRule>
    <x:cfRule type="expression" dxfId="7" priority="4">
      <x:formula>H2="CONFIRMED"</x:formula>
    </x:cfRule>
  </x:conditionalFormatting>
  <x:dataValidations count="1">
    <x:dataValidation type="list" sqref="H2:H100">
      <x:formula1>"CONFIRMED,CORRECTED,SCORE_ADJUSTED,MINOR_SCORE_ADJUST,REVIEW_CONFLICT"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d83c8ff0334444"/>
  </x:tableParts>
</x:worksheet>
</file>