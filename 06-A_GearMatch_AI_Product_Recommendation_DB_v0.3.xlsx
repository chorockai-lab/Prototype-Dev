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orock\OneDrive - 초록소프트㈜\바탕 화면\전진우\초록소프트\신사업기획파트\GearMatch AI\기획안\2차리뉴얼\DB\"/>
    </mc:Choice>
  </mc:AlternateContent>
  <xr:revisionPtr revIDLastSave="0" documentId="8_{D2ED6DA2-3200-450E-9C63-BBD69A4D61AD}" xr6:coauthVersionLast="47" xr6:coauthVersionMax="47" xr10:uidLastSave="{00000000-0000-0000-0000-000000000000}"/>
  <bookViews>
    <workbookView xWindow="-120" yWindow="-120" windowWidth="29040" windowHeight="15840" activeTab="1" xr2:uid="{00000000-000D-0000-FFFF-FFFF00000000}"/>
  </bookViews>
  <sheets>
    <sheet name="00_사용안내" sheetId="1" r:id="rId1"/>
    <sheet name="01_Product_Master" sheetId="2" r:id="rId2"/>
    <sheet name="02_Recommendation_Attrs" sheetId="3" r:id="rId3"/>
    <sheet name="03_Product_Evidence" sheetId="4" r:id="rId4"/>
    <sheet name="04_Target30_Gaps" sheetId="5" r:id="rId5"/>
    <sheet name="99_Codebook" sheetId="6" r:id="rId6"/>
    <sheet name="05_v0.2_Benchmark" sheetId="7" r:id="rId7"/>
    <sheet name="06_v0.2_Release_Notes" sheetId="8" r:id="rId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7" l="1"/>
  <c r="P31" i="7"/>
  <c r="F16" i="3" s="1"/>
  <c r="O31" i="7"/>
  <c r="AC31" i="7" s="1"/>
  <c r="Q30" i="7"/>
  <c r="G42" i="3" s="1"/>
  <c r="P30" i="7"/>
  <c r="O30" i="7"/>
  <c r="AC30" i="7" s="1"/>
  <c r="Q29" i="7"/>
  <c r="P29" i="7"/>
  <c r="O29" i="7"/>
  <c r="AC29" i="7" s="1"/>
  <c r="Q28" i="7"/>
  <c r="G51" i="3" s="1"/>
  <c r="P28" i="7"/>
  <c r="O28" i="7"/>
  <c r="AC28" i="7" s="1"/>
  <c r="Q27" i="7"/>
  <c r="P27" i="7"/>
  <c r="O27" i="7"/>
  <c r="AC27" i="7" s="1"/>
  <c r="Q26" i="7"/>
  <c r="G46" i="3" s="1"/>
  <c r="P26" i="7"/>
  <c r="O26" i="7"/>
  <c r="AC26" i="7" s="1"/>
  <c r="Q25" i="7"/>
  <c r="P25" i="7"/>
  <c r="O25" i="7"/>
  <c r="AC25" i="7" s="1"/>
  <c r="Q24" i="7"/>
  <c r="G14" i="3" s="1"/>
  <c r="P24" i="7"/>
  <c r="O24" i="7"/>
  <c r="AC24" i="7" s="1"/>
  <c r="Q23" i="7"/>
  <c r="P23" i="7"/>
  <c r="O23" i="7"/>
  <c r="AC23" i="7" s="1"/>
  <c r="Q22" i="7"/>
  <c r="P22" i="7"/>
  <c r="O22" i="7"/>
  <c r="AC22" i="7" s="1"/>
  <c r="Q21" i="7"/>
  <c r="P21" i="7"/>
  <c r="O21" i="7"/>
  <c r="AC21" i="7" s="1"/>
  <c r="Q20" i="7"/>
  <c r="P20" i="7"/>
  <c r="O20" i="7"/>
  <c r="AC20" i="7" s="1"/>
  <c r="Q19" i="7"/>
  <c r="P19" i="7"/>
  <c r="F36" i="3" s="1"/>
  <c r="O19" i="7"/>
  <c r="AC19" i="7" s="1"/>
  <c r="Q18" i="7"/>
  <c r="P18" i="7"/>
  <c r="O18" i="7"/>
  <c r="AC18" i="7" s="1"/>
  <c r="Q17" i="7"/>
  <c r="P17" i="7"/>
  <c r="O17" i="7"/>
  <c r="AC17" i="7" s="1"/>
  <c r="Q16" i="7"/>
  <c r="G21" i="3" s="1"/>
  <c r="P16" i="7"/>
  <c r="O16" i="7"/>
  <c r="AC16" i="7" s="1"/>
  <c r="Q15" i="7"/>
  <c r="P15" i="7"/>
  <c r="F44" i="3" s="1"/>
  <c r="O15" i="7"/>
  <c r="AC15" i="7" s="1"/>
  <c r="Q14" i="7"/>
  <c r="P14" i="7"/>
  <c r="O14" i="7"/>
  <c r="AC14" i="7" s="1"/>
  <c r="Q13" i="7"/>
  <c r="P13" i="7"/>
  <c r="O13" i="7"/>
  <c r="AC13" i="7" s="1"/>
  <c r="Q12" i="7"/>
  <c r="G48" i="3" s="1"/>
  <c r="P12" i="7"/>
  <c r="F48" i="3" s="1"/>
  <c r="O12" i="7"/>
  <c r="AC12" i="7" s="1"/>
  <c r="Q11" i="7"/>
  <c r="P11" i="7"/>
  <c r="F3" i="3" s="1"/>
  <c r="O11" i="7"/>
  <c r="AC11" i="7" s="1"/>
  <c r="Q10" i="7"/>
  <c r="P10" i="7"/>
  <c r="O10" i="7"/>
  <c r="AC10" i="7" s="1"/>
  <c r="Q9" i="7"/>
  <c r="P9" i="7"/>
  <c r="O9" i="7"/>
  <c r="AC9" i="7" s="1"/>
  <c r="Q8" i="7"/>
  <c r="G43" i="3" s="1"/>
  <c r="P8" i="7"/>
  <c r="O8" i="7"/>
  <c r="E43" i="3" s="1"/>
  <c r="Q7" i="7"/>
  <c r="P7" i="7"/>
  <c r="F30" i="3" s="1"/>
  <c r="O7" i="7"/>
  <c r="AC7" i="7" s="1"/>
  <c r="Q6" i="7"/>
  <c r="P6" i="7"/>
  <c r="O6" i="7"/>
  <c r="AC6" i="7" s="1"/>
  <c r="Q5" i="7"/>
  <c r="P5" i="7"/>
  <c r="O5" i="7"/>
  <c r="AC5" i="7" s="1"/>
  <c r="Q4" i="7"/>
  <c r="G38" i="3" s="1"/>
  <c r="P4" i="7"/>
  <c r="F38" i="3" s="1"/>
  <c r="O4" i="7"/>
  <c r="AC4" i="7" s="1"/>
  <c r="Q3" i="7"/>
  <c r="P3" i="7"/>
  <c r="F54" i="3" s="1"/>
  <c r="O3" i="7"/>
  <c r="AC3" i="7" s="1"/>
  <c r="Q2" i="7"/>
  <c r="G31" i="3" s="1"/>
  <c r="P2" i="7"/>
  <c r="O2" i="7"/>
  <c r="AC2" i="7" s="1"/>
  <c r="U62" i="3"/>
  <c r="W62" i="3" s="1"/>
  <c r="S62" i="2" s="1"/>
  <c r="W61" i="3"/>
  <c r="U61" i="3"/>
  <c r="U60" i="3"/>
  <c r="W60" i="3" s="1"/>
  <c r="S60" i="2" s="1"/>
  <c r="U59" i="3"/>
  <c r="W59" i="3" s="1"/>
  <c r="S59" i="2" s="1"/>
  <c r="U58" i="3"/>
  <c r="W58" i="3" s="1"/>
  <c r="S58" i="2" s="1"/>
  <c r="W57" i="3"/>
  <c r="U57" i="3"/>
  <c r="W56" i="3"/>
  <c r="U56" i="3"/>
  <c r="W55" i="3"/>
  <c r="S55" i="2" s="1"/>
  <c r="U55" i="3"/>
  <c r="N54" i="3"/>
  <c r="M54" i="3"/>
  <c r="L54" i="3"/>
  <c r="K54" i="3"/>
  <c r="J54" i="3"/>
  <c r="I54" i="3"/>
  <c r="H54" i="3"/>
  <c r="G54" i="3"/>
  <c r="E54" i="3"/>
  <c r="U54" i="3" s="1"/>
  <c r="U53" i="3"/>
  <c r="W53" i="3" s="1"/>
  <c r="S53" i="2" s="1"/>
  <c r="N52" i="3"/>
  <c r="M52" i="3"/>
  <c r="L52" i="3"/>
  <c r="K52" i="3"/>
  <c r="J52" i="3"/>
  <c r="I52" i="3"/>
  <c r="H52" i="3"/>
  <c r="G52" i="3"/>
  <c r="F52" i="3"/>
  <c r="U52" i="3" s="1"/>
  <c r="E52" i="3"/>
  <c r="N51" i="3"/>
  <c r="M51" i="3"/>
  <c r="L51" i="3"/>
  <c r="K51" i="3"/>
  <c r="J51" i="3"/>
  <c r="I51" i="3"/>
  <c r="H51" i="3"/>
  <c r="F51" i="3"/>
  <c r="U50" i="3"/>
  <c r="W50" i="3" s="1"/>
  <c r="S50" i="2" s="1"/>
  <c r="U49" i="3"/>
  <c r="W49" i="3" s="1"/>
  <c r="S49" i="2" s="1"/>
  <c r="N48" i="3"/>
  <c r="M48" i="3"/>
  <c r="L48" i="3"/>
  <c r="K48" i="3"/>
  <c r="J48" i="3"/>
  <c r="I48" i="3"/>
  <c r="H48" i="3"/>
  <c r="E48" i="3"/>
  <c r="W47" i="3"/>
  <c r="S47" i="2" s="1"/>
  <c r="U47" i="3"/>
  <c r="N46" i="3"/>
  <c r="M46" i="3"/>
  <c r="L46" i="3"/>
  <c r="K46" i="3"/>
  <c r="J46" i="3"/>
  <c r="I46" i="3"/>
  <c r="H46" i="3"/>
  <c r="F46" i="3"/>
  <c r="U45" i="3"/>
  <c r="W45" i="3" s="1"/>
  <c r="S45" i="2" s="1"/>
  <c r="N44" i="3"/>
  <c r="M44" i="3"/>
  <c r="L44" i="3"/>
  <c r="K44" i="3"/>
  <c r="J44" i="3"/>
  <c r="I44" i="3"/>
  <c r="H44" i="3"/>
  <c r="G44" i="3"/>
  <c r="N43" i="3"/>
  <c r="M43" i="3"/>
  <c r="L43" i="3"/>
  <c r="K43" i="3"/>
  <c r="J43" i="3"/>
  <c r="I43" i="3"/>
  <c r="H43" i="3"/>
  <c r="F43" i="3"/>
  <c r="N42" i="3"/>
  <c r="M42" i="3"/>
  <c r="L42" i="3"/>
  <c r="K42" i="3"/>
  <c r="J42" i="3"/>
  <c r="U42" i="3" s="1"/>
  <c r="I42" i="3"/>
  <c r="H42" i="3"/>
  <c r="F42" i="3"/>
  <c r="E42" i="3"/>
  <c r="N41" i="3"/>
  <c r="M41" i="3"/>
  <c r="L41" i="3"/>
  <c r="K41" i="3"/>
  <c r="J41" i="3"/>
  <c r="U41" i="3" s="1"/>
  <c r="I41" i="3"/>
  <c r="H41" i="3"/>
  <c r="G41" i="3"/>
  <c r="F41" i="3"/>
  <c r="E41" i="3"/>
  <c r="N40" i="3"/>
  <c r="M40" i="3"/>
  <c r="L40" i="3"/>
  <c r="K40" i="3"/>
  <c r="J40" i="3"/>
  <c r="I40" i="3"/>
  <c r="H40" i="3"/>
  <c r="G40" i="3"/>
  <c r="F40" i="3"/>
  <c r="U40" i="3" s="1"/>
  <c r="E40" i="3"/>
  <c r="U39" i="3"/>
  <c r="V39" i="3" s="1"/>
  <c r="J13" i="5" s="1"/>
  <c r="N39" i="3"/>
  <c r="M39" i="3"/>
  <c r="L39" i="3"/>
  <c r="K39" i="3"/>
  <c r="J39" i="3"/>
  <c r="I39" i="3"/>
  <c r="H39" i="3"/>
  <c r="G39" i="3"/>
  <c r="F39" i="3"/>
  <c r="E39" i="3"/>
  <c r="N38" i="3"/>
  <c r="M38" i="3"/>
  <c r="L38" i="3"/>
  <c r="K38" i="3"/>
  <c r="U38" i="3" s="1"/>
  <c r="J38" i="3"/>
  <c r="I38" i="3"/>
  <c r="H38" i="3"/>
  <c r="E38" i="3"/>
  <c r="U37" i="3"/>
  <c r="W37" i="3" s="1"/>
  <c r="S37" i="2" s="1"/>
  <c r="N36" i="3"/>
  <c r="M36" i="3"/>
  <c r="L36" i="3"/>
  <c r="K36" i="3"/>
  <c r="J36" i="3"/>
  <c r="I36" i="3"/>
  <c r="H36" i="3"/>
  <c r="G36" i="3"/>
  <c r="W35" i="3"/>
  <c r="U35" i="3"/>
  <c r="N34" i="3"/>
  <c r="M34" i="3"/>
  <c r="L34" i="3"/>
  <c r="K34" i="3"/>
  <c r="J34" i="3"/>
  <c r="U34" i="3" s="1"/>
  <c r="I34" i="3"/>
  <c r="H34" i="3"/>
  <c r="G34" i="3"/>
  <c r="F34" i="3"/>
  <c r="E34" i="3"/>
  <c r="N33" i="3"/>
  <c r="M33" i="3"/>
  <c r="L33" i="3"/>
  <c r="K33" i="3"/>
  <c r="J33" i="3"/>
  <c r="U33" i="3" s="1"/>
  <c r="I33" i="3"/>
  <c r="H33" i="3"/>
  <c r="G33" i="3"/>
  <c r="F33" i="3"/>
  <c r="E33" i="3"/>
  <c r="W32" i="3"/>
  <c r="U32" i="3"/>
  <c r="N31" i="3"/>
  <c r="M31" i="3"/>
  <c r="L31" i="3"/>
  <c r="K31" i="3"/>
  <c r="J31" i="3"/>
  <c r="U31" i="3" s="1"/>
  <c r="I31" i="3"/>
  <c r="H31" i="3"/>
  <c r="F31" i="3"/>
  <c r="E31" i="3"/>
  <c r="N30" i="3"/>
  <c r="M30" i="3"/>
  <c r="L30" i="3"/>
  <c r="K30" i="3"/>
  <c r="J30" i="3"/>
  <c r="I30" i="3"/>
  <c r="H30" i="3"/>
  <c r="G30" i="3"/>
  <c r="E30" i="3"/>
  <c r="U30" i="3" s="1"/>
  <c r="U29" i="3"/>
  <c r="W29" i="3" s="1"/>
  <c r="S29" i="2" s="1"/>
  <c r="N28" i="3"/>
  <c r="M28" i="3"/>
  <c r="L28" i="3"/>
  <c r="K28" i="3"/>
  <c r="J28" i="3"/>
  <c r="I28" i="3"/>
  <c r="H28" i="3"/>
  <c r="G28" i="3"/>
  <c r="F28" i="3"/>
  <c r="U28" i="3" s="1"/>
  <c r="E28" i="3"/>
  <c r="W27" i="3"/>
  <c r="S27" i="2" s="1"/>
  <c r="U27" i="3"/>
  <c r="U26" i="3"/>
  <c r="W26" i="3" s="1"/>
  <c r="S26" i="2" s="1"/>
  <c r="U25" i="3"/>
  <c r="W25" i="3" s="1"/>
  <c r="S25" i="2" s="1"/>
  <c r="W24" i="3"/>
  <c r="U24" i="3"/>
  <c r="U23" i="3"/>
  <c r="W23" i="3" s="1"/>
  <c r="S23" i="2" s="1"/>
  <c r="N22" i="3"/>
  <c r="M22" i="3"/>
  <c r="L22" i="3"/>
  <c r="K22" i="3"/>
  <c r="J22" i="3"/>
  <c r="U22" i="3" s="1"/>
  <c r="I22" i="3"/>
  <c r="H22" i="3"/>
  <c r="G22" i="3"/>
  <c r="F22" i="3"/>
  <c r="E22" i="3"/>
  <c r="N21" i="3"/>
  <c r="M21" i="3"/>
  <c r="L21" i="3"/>
  <c r="K21" i="3"/>
  <c r="J21" i="3"/>
  <c r="U21" i="3" s="1"/>
  <c r="I21" i="3"/>
  <c r="H21" i="3"/>
  <c r="F21" i="3"/>
  <c r="E21" i="3"/>
  <c r="N20" i="3"/>
  <c r="M20" i="3"/>
  <c r="L20" i="3"/>
  <c r="K20" i="3"/>
  <c r="J20" i="3"/>
  <c r="I20" i="3"/>
  <c r="H20" i="3"/>
  <c r="G20" i="3"/>
  <c r="F20" i="3"/>
  <c r="E20" i="3"/>
  <c r="U20" i="3" s="1"/>
  <c r="U19" i="3"/>
  <c r="W19" i="3" s="1"/>
  <c r="S19" i="2" s="1"/>
  <c r="N19" i="3"/>
  <c r="M19" i="3"/>
  <c r="L19" i="3"/>
  <c r="K19" i="3"/>
  <c r="J19" i="3"/>
  <c r="I19" i="3"/>
  <c r="H19" i="3"/>
  <c r="G19" i="3"/>
  <c r="F19" i="3"/>
  <c r="E19" i="3"/>
  <c r="W18" i="3"/>
  <c r="S18" i="2" s="1"/>
  <c r="U18" i="3"/>
  <c r="N17" i="3"/>
  <c r="U17" i="3" s="1"/>
  <c r="M17" i="3"/>
  <c r="L17" i="3"/>
  <c r="K17" i="3"/>
  <c r="J17" i="3"/>
  <c r="I17" i="3"/>
  <c r="H17" i="3"/>
  <c r="G17" i="3"/>
  <c r="F17" i="3"/>
  <c r="E17" i="3"/>
  <c r="N16" i="3"/>
  <c r="M16" i="3"/>
  <c r="L16" i="3"/>
  <c r="K16" i="3"/>
  <c r="J16" i="3"/>
  <c r="I16" i="3"/>
  <c r="H16" i="3"/>
  <c r="G16" i="3"/>
  <c r="N15" i="3"/>
  <c r="M15" i="3"/>
  <c r="L15" i="3"/>
  <c r="K15" i="3"/>
  <c r="J15" i="3"/>
  <c r="U15" i="3" s="1"/>
  <c r="I15" i="3"/>
  <c r="H15" i="3"/>
  <c r="G15" i="3"/>
  <c r="F15" i="3"/>
  <c r="E15" i="3"/>
  <c r="N14" i="3"/>
  <c r="M14" i="3"/>
  <c r="L14" i="3"/>
  <c r="K14" i="3"/>
  <c r="J14" i="3"/>
  <c r="U14" i="3" s="1"/>
  <c r="I14" i="3"/>
  <c r="H14" i="3"/>
  <c r="F14" i="3"/>
  <c r="E14" i="3"/>
  <c r="U13" i="3"/>
  <c r="W13" i="3" s="1"/>
  <c r="S13" i="2" s="1"/>
  <c r="N12" i="3"/>
  <c r="M12" i="3"/>
  <c r="L12" i="3"/>
  <c r="K12" i="3"/>
  <c r="J12" i="3"/>
  <c r="U12" i="3" s="1"/>
  <c r="I12" i="3"/>
  <c r="H12" i="3"/>
  <c r="G12" i="3"/>
  <c r="F12" i="3"/>
  <c r="E12" i="3"/>
  <c r="W11" i="3"/>
  <c r="S11" i="2" s="1"/>
  <c r="U11" i="3"/>
  <c r="W10" i="3"/>
  <c r="S10" i="2" s="1"/>
  <c r="U10" i="3"/>
  <c r="W9" i="3"/>
  <c r="U9" i="3"/>
  <c r="U8" i="3"/>
  <c r="W8" i="3" s="1"/>
  <c r="S8" i="2" s="1"/>
  <c r="W7" i="3"/>
  <c r="U7" i="3"/>
  <c r="N6" i="3"/>
  <c r="M6" i="3"/>
  <c r="L6" i="3"/>
  <c r="K6" i="3"/>
  <c r="U6" i="3" s="1"/>
  <c r="J6" i="3"/>
  <c r="I6" i="3"/>
  <c r="H6" i="3"/>
  <c r="G6" i="3"/>
  <c r="F6" i="3"/>
  <c r="E6" i="3"/>
  <c r="U5" i="3"/>
  <c r="W5" i="3" s="1"/>
  <c r="S5" i="2" s="1"/>
  <c r="U4" i="3"/>
  <c r="W4" i="3" s="1"/>
  <c r="S4" i="2" s="1"/>
  <c r="N3" i="3"/>
  <c r="M3" i="3"/>
  <c r="L3" i="3"/>
  <c r="K3" i="3"/>
  <c r="J3" i="3"/>
  <c r="I3" i="3"/>
  <c r="H3" i="3"/>
  <c r="G3" i="3"/>
  <c r="N2" i="3"/>
  <c r="M2" i="3"/>
  <c r="L2" i="3"/>
  <c r="K2" i="3"/>
  <c r="J2" i="3"/>
  <c r="U2" i="3" s="1"/>
  <c r="I2" i="3"/>
  <c r="H2" i="3"/>
  <c r="G2" i="3"/>
  <c r="F2" i="3"/>
  <c r="E2" i="3"/>
  <c r="S61" i="2"/>
  <c r="S57" i="2"/>
  <c r="S56" i="2"/>
  <c r="S35" i="2"/>
  <c r="S32" i="2"/>
  <c r="S24" i="2"/>
  <c r="S9" i="2"/>
  <c r="S7" i="2"/>
  <c r="I3" i="5" l="1"/>
  <c r="W54" i="3"/>
  <c r="S54" i="2" s="1"/>
  <c r="V54" i="3"/>
  <c r="J3" i="5" s="1"/>
  <c r="I2" i="5"/>
  <c r="W31" i="3"/>
  <c r="S31" i="2" s="1"/>
  <c r="V31" i="3"/>
  <c r="J2" i="5" s="1"/>
  <c r="W42" i="3"/>
  <c r="S42" i="2" s="1"/>
  <c r="V42" i="3"/>
  <c r="J30" i="5" s="1"/>
  <c r="I30" i="5"/>
  <c r="U48" i="3"/>
  <c r="W30" i="3"/>
  <c r="S30" i="2" s="1"/>
  <c r="V30" i="3"/>
  <c r="J7" i="5" s="1"/>
  <c r="I7" i="5"/>
  <c r="W52" i="3"/>
  <c r="S52" i="2" s="1"/>
  <c r="V52" i="3"/>
  <c r="J29" i="5" s="1"/>
  <c r="I29" i="5"/>
  <c r="W2" i="3"/>
  <c r="S2" i="2" s="1"/>
  <c r="V2" i="3"/>
  <c r="J21" i="5" s="1"/>
  <c r="I21" i="5"/>
  <c r="I25" i="5"/>
  <c r="W34" i="3"/>
  <c r="S34" i="2" s="1"/>
  <c r="V34" i="3"/>
  <c r="J25" i="5" s="1"/>
  <c r="I16" i="5"/>
  <c r="W21" i="3"/>
  <c r="S21" i="2" s="1"/>
  <c r="V21" i="3"/>
  <c r="J16" i="5" s="1"/>
  <c r="I10" i="5"/>
  <c r="W20" i="3"/>
  <c r="S20" i="2" s="1"/>
  <c r="V20" i="3"/>
  <c r="J10" i="5" s="1"/>
  <c r="W41" i="3"/>
  <c r="S41" i="2" s="1"/>
  <c r="V41" i="3"/>
  <c r="J22" i="5" s="1"/>
  <c r="I22" i="5"/>
  <c r="W28" i="3"/>
  <c r="S28" i="2" s="1"/>
  <c r="V28" i="3"/>
  <c r="J14" i="5" s="1"/>
  <c r="I14" i="5"/>
  <c r="U43" i="3"/>
  <c r="I23" i="5"/>
  <c r="W15" i="3"/>
  <c r="S15" i="2" s="1"/>
  <c r="V15" i="3"/>
  <c r="J23" i="5" s="1"/>
  <c r="I24" i="5"/>
  <c r="W14" i="3"/>
  <c r="S14" i="2" s="1"/>
  <c r="V14" i="3"/>
  <c r="J24" i="5" s="1"/>
  <c r="V17" i="3"/>
  <c r="J5" i="5" s="1"/>
  <c r="I5" i="5"/>
  <c r="W17" i="3"/>
  <c r="S17" i="2" s="1"/>
  <c r="I17" i="5"/>
  <c r="V6" i="3"/>
  <c r="J17" i="5" s="1"/>
  <c r="W6" i="3"/>
  <c r="S6" i="2" s="1"/>
  <c r="W38" i="3"/>
  <c r="S38" i="2" s="1"/>
  <c r="V38" i="3"/>
  <c r="J4" i="5" s="1"/>
  <c r="I4" i="5"/>
  <c r="I18" i="5"/>
  <c r="W40" i="3"/>
  <c r="S40" i="2" s="1"/>
  <c r="V40" i="3"/>
  <c r="J18" i="5" s="1"/>
  <c r="W12" i="3"/>
  <c r="S12" i="2" s="1"/>
  <c r="V12" i="3"/>
  <c r="J6" i="5" s="1"/>
  <c r="I6" i="5"/>
  <c r="I27" i="5"/>
  <c r="W22" i="3"/>
  <c r="S22" i="2" s="1"/>
  <c r="V22" i="3"/>
  <c r="J27" i="5" s="1"/>
  <c r="W33" i="3"/>
  <c r="S33" i="2" s="1"/>
  <c r="V33" i="3"/>
  <c r="J20" i="5" s="1"/>
  <c r="I20" i="5"/>
  <c r="W39" i="3"/>
  <c r="S39" i="2" s="1"/>
  <c r="I13" i="5"/>
  <c r="E46" i="3"/>
  <c r="U46" i="3" s="1"/>
  <c r="E51" i="3"/>
  <c r="U51" i="3" s="1"/>
  <c r="AC8" i="7"/>
  <c r="E44" i="3"/>
  <c r="U44" i="3" s="1"/>
  <c r="E3" i="3"/>
  <c r="U3" i="3" s="1"/>
  <c r="V19" i="3"/>
  <c r="J9" i="5" s="1"/>
  <c r="E16" i="3"/>
  <c r="U16" i="3" s="1"/>
  <c r="E36" i="3"/>
  <c r="U36" i="3" s="1"/>
  <c r="I9" i="5"/>
  <c r="I19" i="5" l="1"/>
  <c r="V36" i="3"/>
  <c r="J19" i="5" s="1"/>
  <c r="W36" i="3"/>
  <c r="S36" i="2" s="1"/>
  <c r="I11" i="5"/>
  <c r="W3" i="3"/>
  <c r="S3" i="2" s="1"/>
  <c r="V3" i="3"/>
  <c r="J11" i="5" s="1"/>
  <c r="V16" i="3"/>
  <c r="J31" i="5" s="1"/>
  <c r="I31" i="5"/>
  <c r="W16" i="3"/>
  <c r="S16" i="2" s="1"/>
  <c r="I15" i="5"/>
  <c r="W44" i="3"/>
  <c r="S44" i="2" s="1"/>
  <c r="V44" i="3"/>
  <c r="J15" i="5" s="1"/>
  <c r="W48" i="3"/>
  <c r="S48" i="2" s="1"/>
  <c r="V48" i="3"/>
  <c r="J12" i="5" s="1"/>
  <c r="I12" i="5"/>
  <c r="I8" i="5"/>
  <c r="V43" i="3"/>
  <c r="J8" i="5" s="1"/>
  <c r="W43" i="3"/>
  <c r="S43" i="2" s="1"/>
  <c r="V51" i="3"/>
  <c r="J28" i="5" s="1"/>
  <c r="I28" i="5"/>
  <c r="W51" i="3"/>
  <c r="S51" i="2" s="1"/>
  <c r="V46" i="3"/>
  <c r="J26" i="5" s="1"/>
  <c r="I26" i="5"/>
  <c r="W46" i="3"/>
  <c r="S46" i="2" s="1"/>
</calcChain>
</file>

<file path=xl/sharedStrings.xml><?xml version="1.0" encoding="utf-8"?>
<sst xmlns="http://schemas.openxmlformats.org/spreadsheetml/2006/main" count="8462" uniqueCount="1688">
  <si>
    <t>GearMatch AI — 06-A Product Recommendation DB v0.2</t>
  </si>
  <si>
    <t>항목</t>
  </si>
  <si>
    <t>값</t>
  </si>
  <si>
    <t>KPI</t>
  </si>
  <si>
    <t>생성 기준일</t>
  </si>
  <si>
    <t>2026-08-28</t>
  </si>
  <si>
    <t>전체 Product</t>
  </si>
  <si>
    <t>기준 문서</t>
  </si>
  <si>
    <t>06_데이터 기획서 v0.1</t>
  </si>
  <si>
    <t>KR 판매 근거 Product</t>
  </si>
  <si>
    <t>Migration 원천</t>
  </si>
  <si>
    <t>러닝화_DB_통합본.xlsx</t>
  </si>
  <si>
    <t>Target 30</t>
  </si>
  <si>
    <t>Review 원천</t>
  </si>
  <si>
    <t>국내_러닝화_리뷰.xlsx + 해외_러닝화_리뷰.xlsx</t>
  </si>
  <si>
    <t>Recommendation Eligible</t>
  </si>
  <si>
    <t>Product 단위</t>
  </si>
  <si>
    <t>1 Row = 1 Product Model + Version</t>
  </si>
  <si>
    <t>Review Evidence 행</t>
  </si>
  <si>
    <t>원칙</t>
  </si>
  <si>
    <t>Source 없는 값/AI 임의 점수 생성 금지</t>
  </si>
  <si>
    <t>현재 상태 해석</t>
  </si>
  <si>
    <t>v0.2에서는 한국 MVP Target 30개를 대상으로 성능/설계 데이터를 보강했습니다. 29개는 Cushion·Stability·Responsiveness·Weight·Drop·Plate·Fit·Wide·Level·Distance의 P0 필드를 채웠으며, adidas Duramo SL 2는 공식 Fact는 확인했지만 비교 가능한 독립 성능 점수가 없어 Recommendation Eligible에서 제외했습니다. 성능 비교는 RTINGS 동일 테스트 벤치를 우선하고, 미커버 제품은 RunRepeat 상대 측정을 Tier B로 분리했습니다.</t>
  </si>
  <si>
    <t>Sheet</t>
  </si>
  <si>
    <t>용도</t>
  </si>
  <si>
    <t>01_Product_Master</t>
  </si>
  <si>
    <t>제품 식별 / 시장 / 공식 가격 / Target30 / Eligibility</t>
  </si>
  <si>
    <t>02_Recommendation_Attrs</t>
  </si>
  <si>
    <t>추천 계산용 Attribute / Caution / Missing 관리</t>
  </si>
  <si>
    <t>03_Product_Evidence</t>
  </si>
  <si>
    <t>Field 단위 Source / Review / Lab Evidence</t>
  </si>
  <si>
    <t>04_Target30_Gaps</t>
  </si>
  <si>
    <t>Target 30 완료 상태 및 추가 조사 항목</t>
  </si>
  <si>
    <t>05_v0.2_Benchmark</t>
  </si>
  <si>
    <t>성능 원점수·정규화·Source Tier·Confidence</t>
  </si>
  <si>
    <t>06_v0.2_Release_Notes</t>
  </si>
  <si>
    <t>v0.2 정규화 규칙·운영 권고·주의사항</t>
  </si>
  <si>
    <t>99_Codebook</t>
  </si>
  <si>
    <t>Controlled Vocabulary / Rule Version / Data Policy</t>
  </si>
  <si>
    <t>v0.2 Research Status</t>
  </si>
  <si>
    <t>Tier A / RTINGS</t>
  </si>
  <si>
    <t>Score Rule</t>
  </si>
  <si>
    <t>PERF_NORM_v0.2</t>
  </si>
  <si>
    <t>Ready for MVP</t>
  </si>
  <si>
    <t>Tier B / RunRepeat</t>
  </si>
  <si>
    <t>Verified at</t>
  </si>
  <si>
    <t>Research Required</t>
  </si>
  <si>
    <t>Tier C / Official only</t>
  </si>
  <si>
    <t>Pending Product</t>
  </si>
  <si>
    <t>adidas Duramo SL 2</t>
  </si>
  <si>
    <t>다음 작업: Duramo SL 2의 독립 비교 데이터 확보 후 Target 30을 모두 Eligible로 전환하고, Recommendation Logic Spec에서 Source Tier / Confidence를 가중치에 반영합니다.</t>
  </si>
  <si>
    <t>product_id</t>
  </si>
  <si>
    <t>brand</t>
  </si>
  <si>
    <t>brand_ko</t>
  </si>
  <si>
    <t>series</t>
  </si>
  <si>
    <t>model_name</t>
  </si>
  <si>
    <t>version</t>
  </si>
  <si>
    <t>display_name</t>
  </si>
  <si>
    <t>market</t>
  </si>
  <si>
    <t>currency</t>
  </si>
  <si>
    <t>product_status</t>
  </si>
  <si>
    <t>kr_sale_confirmed</t>
  </si>
  <si>
    <t>official_product_url</t>
  </si>
  <si>
    <t>official_image_url</t>
  </si>
  <si>
    <t>image_reference_url</t>
  </si>
  <si>
    <t>msrp_krw_or_source_currency</t>
  </si>
  <si>
    <t>msrp_raw</t>
  </si>
  <si>
    <t>price_verified_at</t>
  </si>
  <si>
    <t>target_30</t>
  </si>
  <si>
    <t>recommendation_eligible</t>
  </si>
  <si>
    <t>data_status</t>
  </si>
  <si>
    <t>product_data_version</t>
  </si>
  <si>
    <t>legacy_use_category</t>
  </si>
  <si>
    <t>legacy_description</t>
  </si>
  <si>
    <t>source_quality_note</t>
  </si>
  <si>
    <t>updated_at</t>
  </si>
  <si>
    <t>GM-NK-PEGASUS-42</t>
  </si>
  <si>
    <t>Nike</t>
  </si>
  <si>
    <t>나이키</t>
  </si>
  <si>
    <t>Pegasus</t>
  </si>
  <si>
    <t>42</t>
  </si>
  <si>
    <t>Nike Pegasus 42</t>
  </si>
  <si>
    <t>KR</t>
  </si>
  <si>
    <t>KRW</t>
  </si>
  <si>
    <t>CURRENT</t>
  </si>
  <si>
    <t>https://www.nike.com/kr/w/pegasus-running-shoes-37v7jz8nexhzy7ok</t>
  </si>
  <si>
    <t>169,000원</t>
  </si>
  <si>
    <t>2026-07-01</t>
  </si>
  <si>
    <t>VERIFIED</t>
  </si>
  <si>
    <t>PDB_v0.2</t>
  </si>
  <si>
    <t>데일리/올라운드</t>
  </si>
  <si>
    <t>올라운드 데일리 트레이너. 입문~중급 러너의 조깅, 기본 훈련, 가벼운 스피드런까지 무난하게 커버.</t>
  </si>
  <si>
    <t>DIRECT_IMAGE_URL_NOT_VERIFIED</t>
  </si>
  <si>
    <t>GM-NK-VOMERO-18</t>
  </si>
  <si>
    <t>Vomero</t>
  </si>
  <si>
    <t>18</t>
  </si>
  <si>
    <t>Nike Vomero 18</t>
  </si>
  <si>
    <t>https://www.nike.com/kr/w/vomero-running-shoes-37v7jz7gee1zy7ok</t>
  </si>
  <si>
    <t>Vomero 18 189,000원 / Plus 219,000원 / Premium 299,000원</t>
  </si>
  <si>
    <t>쿠션/장거리</t>
  </si>
  <si>
    <t>쿠셔닝 중심의 편안한 데일리·장거리용. 부드러운 착지감과 보호감을 선호하는 러너에게 적합.</t>
  </si>
  <si>
    <t>CATEGORY_OR_SHARED_URL;DIRECT_IMAGE_URL_NOT_VERIFIED</t>
  </si>
  <si>
    <t>GM-NK-VOMERO-PLUS-BASE</t>
  </si>
  <si>
    <t>Vomero Plus</t>
  </si>
  <si>
    <t>Nike Vomero Plus</t>
  </si>
  <si>
    <t>DRAFT</t>
  </si>
  <si>
    <t>PDB_v0.1</t>
  </si>
  <si>
    <t>GM-NK-VOMERO-PREMIUM-BASE</t>
  </si>
  <si>
    <t>Vomero Premium</t>
  </si>
  <si>
    <t>Nike Vomero Premium</t>
  </si>
  <si>
    <t>GM-NK-STRUCTURE-26</t>
  </si>
  <si>
    <t>Structure</t>
  </si>
  <si>
    <t>26</t>
  </si>
  <si>
    <t>Nike Structure 26</t>
  </si>
  <si>
    <t>https://www.nike.com/kr/w/structure-running-shoes-1sytgz37v7jzy7ok</t>
  </si>
  <si>
    <t>Structure 26 169,000원 / Structure Plus 209,000~219,000원</t>
  </si>
  <si>
    <t>안정화</t>
  </si>
  <si>
    <t>안정성 중심 데일리 러닝화. 발이 안쪽으로 무너지는 느낌이 있거나 안정감을 원하는 러너에게 적합.</t>
  </si>
  <si>
    <t>GM-NK-STRUCTURE-PLUS-BASE</t>
  </si>
  <si>
    <t>Structure Plus</t>
  </si>
  <si>
    <t>Nike Structure Plus</t>
  </si>
  <si>
    <t>EXACT_MSRP_MISSING;CATEGORY_OR_SHARED_URL;DIRECT_IMAGE_URL_NOT_VERIFIED</t>
  </si>
  <si>
    <t>GM-NK-ZOOM-FLY-6</t>
  </si>
  <si>
    <t>Zoom Fly</t>
  </si>
  <si>
    <t>6</t>
  </si>
  <si>
    <t>Nike Zoom Fly 6</t>
  </si>
  <si>
    <t>https://www.nike.com/kr/w/zoom-fly-running-shoes-37v7jz7oc5azy7ok</t>
  </si>
  <si>
    <t>209,000~229,000원</t>
  </si>
  <si>
    <t>템포/스피드훈련</t>
  </si>
  <si>
    <t>템포·레이싱 훈련용. 반발력과 추진감을 활용해 빠른 페이스 훈련에 적합.</t>
  </si>
  <si>
    <t>EXACT_MSRP_MISSING;DIRECT_IMAGE_URL_NOT_VERIFIED</t>
  </si>
  <si>
    <t>GM-NK-ALPHAFLY-3</t>
  </si>
  <si>
    <t>Alphafly</t>
  </si>
  <si>
    <t>3</t>
  </si>
  <si>
    <t>Nike Alphafly 3</t>
  </si>
  <si>
    <t>https://www.nike.com/kr/w/alphafly-1tp17z38l5kz77ghy</t>
  </si>
  <si>
    <t>339,000~359,000원</t>
  </si>
  <si>
    <t>레이스/카본</t>
  </si>
  <si>
    <t>레이스용 최상급 카본 슈즈. 마라톤 기록 단축과 대회용 목적에 적합.</t>
  </si>
  <si>
    <t>GM-AD-ULTRABOOST-5X</t>
  </si>
  <si>
    <t>adidas</t>
  </si>
  <si>
    <t>아디다스</t>
  </si>
  <si>
    <t>Ultraboost</t>
  </si>
  <si>
    <t>5X</t>
  </si>
  <si>
    <t>adidas Ultraboost 5X</t>
  </si>
  <si>
    <t>https://www.adidas.co.kr/ultraboost</t>
  </si>
  <si>
    <t>정가 199,000~329,000원 / 일부 세일 153,300원~</t>
  </si>
  <si>
    <t>2026-07-02</t>
  </si>
  <si>
    <t>쿠션/라이프스타일</t>
  </si>
  <si>
    <t>프리미엄 쿠션과 일상 겸용성이 강한 라인. 장거리·회복 러닝과 라이프스타일 겸용에 적합.</t>
  </si>
  <si>
    <t>GM-AD-ULTRABOOST-1-0-ATR-BASE</t>
  </si>
  <si>
    <t>Ultraboost 1.0 ATR</t>
  </si>
  <si>
    <t>adidas Ultraboost 1.0 ATR</t>
  </si>
  <si>
    <t>GM-AD-SUPERNOVA-RISE-3</t>
  </si>
  <si>
    <t>Supernova</t>
  </si>
  <si>
    <t>Supernova Rise</t>
  </si>
  <si>
    <t>adidas Supernova Rise 3</t>
  </si>
  <si>
    <t>https://www.adidas.co.kr/supernova-running-shoes</t>
  </si>
  <si>
    <t>Supernova Rise 3 159,000원 / Ease 99,000~119,000원 / 협업 모델 189,000원</t>
  </si>
  <si>
    <t>데일리/입문</t>
  </si>
  <si>
    <t>입문자부터 일반 러너까지 편안함과 안정감을 중시하는 데일리 러닝화.</t>
  </si>
  <si>
    <t>GM-AD-SUPERNOVA-EASE-BASE</t>
  </si>
  <si>
    <t>Supernova Ease</t>
  </si>
  <si>
    <t>adidas Supernova Ease</t>
  </si>
  <si>
    <t>GM-AD-ADIZERO-SL-2</t>
  </si>
  <si>
    <t>Adizero</t>
  </si>
  <si>
    <t>Adizero SL</t>
  </si>
  <si>
    <t>2</t>
  </si>
  <si>
    <t>adidas Adizero SL 2</t>
  </si>
  <si>
    <t>https://www.adidas.co.kr/men-adizero-running</t>
  </si>
  <si>
    <t>Adizero SL 2 149,000원 / EVO SL 209,000원 / Adios Pro 4 299,000원</t>
  </si>
  <si>
    <t>템포/레이스</t>
  </si>
  <si>
    <t>경량·반응성·속도 중심. SL 2는 빠른 데일리/훈련, EVO SL은 템포·스피드 훈련, Adios Pro 4는 레이스용으로 적합.</t>
  </si>
  <si>
    <t>GM-AD-ADIZERO-EVO-SL-BASE</t>
  </si>
  <si>
    <t>Adizero EVO SL</t>
  </si>
  <si>
    <t>adidas Adizero EVO SL</t>
  </si>
  <si>
    <t>GM-AD-ADIZERO-ADIOS-PRO-4</t>
  </si>
  <si>
    <t>Adizero Adios Pro</t>
  </si>
  <si>
    <t>4</t>
  </si>
  <si>
    <t>adidas Adizero Adios Pro 4</t>
  </si>
  <si>
    <t>GM-AD-DURAMO-SL-2</t>
  </si>
  <si>
    <t>Duramo</t>
  </si>
  <si>
    <t>Duramo SL</t>
  </si>
  <si>
    <t>https://www.adidas.co.kr/duramo</t>
  </si>
  <si>
    <t>Duramo SL 79,000원 / Duramo Speed 2 99,000원</t>
  </si>
  <si>
    <t>가성비/입문</t>
  </si>
  <si>
    <t>가성비 입문용. 기본 쿠션, 통기성, 부담 없는 가격대가 강점.</t>
  </si>
  <si>
    <t>GM-AD-DURAMO-SPEED-2</t>
  </si>
  <si>
    <t>Duramo Speed</t>
  </si>
  <si>
    <t>adidas Duramo Speed 2</t>
  </si>
  <si>
    <t>GM-NB-FRESH-FOAM-X-1080-V15</t>
  </si>
  <si>
    <t>New Balance</t>
  </si>
  <si>
    <t>뉴발란스</t>
  </si>
  <si>
    <t>1080</t>
  </si>
  <si>
    <t>Fresh Foam X 1080</t>
  </si>
  <si>
    <t>v15</t>
  </si>
  <si>
    <t>New Balance Fresh Foam X 1080 v15</t>
  </si>
  <si>
    <t>https://pay.nbkorea.com/product/productDetail.action?colCode=19&amp;styleCode=NBPFGS102T</t>
  </si>
  <si>
    <t>209,000원</t>
  </si>
  <si>
    <t>최상급 쿠셔닝 데일리·장거리용. 부드러운 착화감과 편안한 발구름 중심.</t>
  </si>
  <si>
    <t>GM-NB-FRESH-FOAM-X-880-V15</t>
  </si>
  <si>
    <t>880</t>
  </si>
  <si>
    <t>Fresh Foam X 880</t>
  </si>
  <si>
    <t>New Balance Fresh Foam X 880 v15</t>
  </si>
  <si>
    <t>https://pay.nbkorea.com/product/productDetail.action?colCode=19&amp;styleCode=NBPFGS107T</t>
  </si>
  <si>
    <t>189,000원</t>
  </si>
  <si>
    <t>데일리/중립</t>
  </si>
  <si>
    <t>중립 데일리 트레이너. 1080보다 조금 더 밀도 있고 안정적인 쿠션을 선호하는 러너에게 적합.</t>
  </si>
  <si>
    <t>GM-NB-FRESH-FOAM-X-860-V15</t>
  </si>
  <si>
    <t>860</t>
  </si>
  <si>
    <t>Fresh Foam X 860</t>
  </si>
  <si>
    <t>New Balance Fresh Foam X 860 v15</t>
  </si>
  <si>
    <t>https://pay.nbkorea.com/product/productDetail.action?colCode=19&amp;styleCode=NBPFGS109K</t>
  </si>
  <si>
    <t>안정화 러닝화. 과내전 보정과 지지감이 필요한 러너에게 적합.</t>
  </si>
  <si>
    <t>GM-NB-FUELCELL-SUPERCOMP-ELITE-V5</t>
  </si>
  <si>
    <t>SC Elite</t>
  </si>
  <si>
    <t>FuelCell SuperComp Elite</t>
  </si>
  <si>
    <t>v5</t>
  </si>
  <si>
    <t>New Balance FuelCell SuperComp Elite v5</t>
  </si>
  <si>
    <t>https://www.lotteimall.com/goods/viewGoodsDetail.lotte?goods_no=3083436989&amp;gad_source=1&amp;gad_campaignid=16158532513&amp;gclid=EAIaIQobChMIrJHZ8ey_lQMVwtYWBR2JrTF9EAYYASABEgLORvD_BwE&amp;gbraid=0AAAAADuYO-SDPnQA8IA9eUOL6kptFEVYT&amp;chl_dtl_no=&amp;chl_no=169230</t>
  </si>
  <si>
    <t>349,000원</t>
  </si>
  <si>
    <t>카본 레이싱화. 10km~마라톤 PB 도전, 기록 단축 목적의 상급 러너에게 적합.</t>
  </si>
  <si>
    <t>GM-HK-CLIFTON-10</t>
  </si>
  <si>
    <t>HOKA</t>
  </si>
  <si>
    <t>호카</t>
  </si>
  <si>
    <t>Clifton</t>
  </si>
  <si>
    <t>10</t>
  </si>
  <si>
    <t>HOKA Clifton 10</t>
  </si>
  <si>
    <t>US</t>
  </si>
  <si>
    <t>USD</t>
  </si>
  <si>
    <t>https://www.hoka.com/en/us/mens-road/</t>
  </si>
  <si>
    <t>$155 전후</t>
  </si>
  <si>
    <t>데일리 올라운드. 가볍고 부드러운 쿠셔닝, 조깅·이지런·걷기 겸용에 적합.</t>
  </si>
  <si>
    <t>KR_SALE_NOT_CONFIRMED_IN_SOURCE;CATEGORY_OR_SHARED_URL;DIRECT_IMAGE_URL_NOT_VERIFIED</t>
  </si>
  <si>
    <t>GM-HK-BONDI-9</t>
  </si>
  <si>
    <t>Bondi</t>
  </si>
  <si>
    <t>9</t>
  </si>
  <si>
    <t>HOKA Bondi 9</t>
  </si>
  <si>
    <t>$175 전후</t>
  </si>
  <si>
    <t>맥스쿠션/워킹</t>
  </si>
  <si>
    <t>맥시 쿠셔닝 중심. 충격 흡수와 편안함을 크게 중시하는 러너·워킹 사용자에게 적합.</t>
  </si>
  <si>
    <t>GM-HK-ARAHI-8</t>
  </si>
  <si>
    <t>Arahi</t>
  </si>
  <si>
    <t>8</t>
  </si>
  <si>
    <t>HOKA Arahi 8</t>
  </si>
  <si>
    <t>$150 전후</t>
  </si>
  <si>
    <t>안정화 러닝화. 과내전 보정과 안정성을 원하되 쿠션감도 원하는 러너에게 적합.</t>
  </si>
  <si>
    <t>GM-HK-MACH-7</t>
  </si>
  <si>
    <t>Mach</t>
  </si>
  <si>
    <t>7</t>
  </si>
  <si>
    <t>HOKA Mach 7</t>
  </si>
  <si>
    <t>$145 전후</t>
  </si>
  <si>
    <t>템포·스피드 훈련용. 반응성과 가벼운 추진감이 강점인 빠른 데일리 트레이너.</t>
  </si>
  <si>
    <t>GM-HK-CIELO-X1-3_0</t>
  </si>
  <si>
    <t>Cielo X1</t>
  </si>
  <si>
    <t>3.0</t>
  </si>
  <si>
    <t>HOKA Cielo X1 3.0</t>
  </si>
  <si>
    <t>$275 전후</t>
  </si>
  <si>
    <t>레이스용 고성능 카본 라인. 강한 반발력과 속도 지향, 대회·기록 목적에 적합.</t>
  </si>
  <si>
    <t>GM-AS-GEL-KAYANO-33</t>
  </si>
  <si>
    <t>ASICS</t>
  </si>
  <si>
    <t>아식스</t>
  </si>
  <si>
    <t>GEL-KAYANO</t>
  </si>
  <si>
    <t>33</t>
  </si>
  <si>
    <t>ASICS GEL-KAYANO 33</t>
  </si>
  <si>
    <t>https://www.asics.co.kr/c/m-running-shoes</t>
  </si>
  <si>
    <t>199,000원</t>
  </si>
  <si>
    <t>안정화 대표 모델. 지지력과 안정성을 중시하는 러너, 장거리에서 발 흔들림을 줄이고 싶은 러너에게 적합.</t>
  </si>
  <si>
    <t>GM-AS-GEL-KAYANO-32</t>
  </si>
  <si>
    <t>32</t>
  </si>
  <si>
    <t>ASICS GEL-KAYANO 32</t>
  </si>
  <si>
    <t>UNKNOWN</t>
  </si>
  <si>
    <t>GM-AS-GEL-NIMBUS-28</t>
  </si>
  <si>
    <t>GEL-NIMBUS</t>
  </si>
  <si>
    <t>28</t>
  </si>
  <si>
    <t>ASICS GEL-NIMBUS 28</t>
  </si>
  <si>
    <t>맥스 쿠션화. 부드러운 착지감과 편안함 중심, 장거리·데일리 러닝에 적합.</t>
  </si>
  <si>
    <t>GM-AS-NOVABLAST-5</t>
  </si>
  <si>
    <t>NOVABLAST</t>
  </si>
  <si>
    <t>5</t>
  </si>
  <si>
    <t>ASICS NOVABLAST 5</t>
  </si>
  <si>
    <t>169,000원부터</t>
  </si>
  <si>
    <t>데일리/반발</t>
  </si>
  <si>
    <t>반발감이 좋은 바운싱 계열. 데일리 러닝에 재미있는 러닝감을 더하고 싶은 중립 러너에게 적합.</t>
  </si>
  <si>
    <t>GM-AS-SUPERBLAST-2</t>
  </si>
  <si>
    <t>SUPERBLAST</t>
  </si>
  <si>
    <t>ASICS SUPERBLAST 2</t>
  </si>
  <si>
    <t>SUPERBLAST 2 249,000원 / SUPERBLAST 3 259,000원</t>
  </si>
  <si>
    <t>슈퍼트레이너</t>
  </si>
  <si>
    <t>무카본 슈퍼트레이너 성격. 장거리 훈련, 템포, 다목적 활용에 강함.</t>
  </si>
  <si>
    <t>GM-AS-SUPERBLAST-3</t>
  </si>
  <si>
    <t>ASICS SUPERBLAST 3</t>
  </si>
  <si>
    <t>GM-AS-METASPEED-SKY-TOKYO</t>
  </si>
  <si>
    <t>METASPEED</t>
  </si>
  <si>
    <t>METASPEED SKY</t>
  </si>
  <si>
    <t>TOKYO</t>
  </si>
  <si>
    <t>ASICS METASPEED SKY TOKYO</t>
  </si>
  <si>
    <t>329,000원</t>
  </si>
  <si>
    <t>레이스용 카본 계열. 기록 단축과 추진력 중심, 상급자 대회용에 적합.</t>
  </si>
  <si>
    <t>GM-AS-METASPEED-EDGE-TOKYO</t>
  </si>
  <si>
    <t>METASPEED EDGE</t>
  </si>
  <si>
    <t>ASICS METASPEED EDGE TOKYO</t>
  </si>
  <si>
    <t>GM-AS-MAGIC-SPEED-5</t>
  </si>
  <si>
    <t>Magic Speed</t>
  </si>
  <si>
    <t>ASICS Magic Speed 5</t>
  </si>
  <si>
    <t>Magic Speed 4 199,000원 / Magic Speed 5 209,000원</t>
  </si>
  <si>
    <t>가성비 카본·템포 성격. 레이스 입문과 스피드 훈련에 적합.</t>
  </si>
  <si>
    <t>GM-AS-MAGIC-SPEED-4</t>
  </si>
  <si>
    <t>ASICS Magic Speed 4</t>
  </si>
  <si>
    <t>GM-SC-RIDE-19</t>
  </si>
  <si>
    <t>Saucony</t>
  </si>
  <si>
    <t>써코니</t>
  </si>
  <si>
    <t>Ride</t>
  </si>
  <si>
    <t>19</t>
  </si>
  <si>
    <t>Saucony Ride 19</t>
  </si>
  <si>
    <t>https://saucony.co.kr/category/%EB%9D%BC%EC%9D%B4%EB%93%9C/114</t>
  </si>
  <si>
    <t>179,000원</t>
  </si>
  <si>
    <t>중립형 데일리 올라운드. 입문~중급 러너의 조깅, 기본 훈련, 일상적인 러닝에 적합.</t>
  </si>
  <si>
    <t>GM-SC-TRIUMPH-23</t>
  </si>
  <si>
    <t>Triumph</t>
  </si>
  <si>
    <t>23</t>
  </si>
  <si>
    <t>Saucony Triumph 23</t>
  </si>
  <si>
    <t>https://saucony.co.kr/product/%EC%97%AC%EC%84%B1-%ED%8A%B8%EB%9D%BC%EC%9D%B4%EC%97%84%ED%94%84-23-%EC%99%80%EC%9D%B4%EB%93%9C-vaporarctic/197/category/42/display/1/</t>
  </si>
  <si>
    <t>프리미엄 쿠셔닝 중심. 장거리 러닝, 회복주, 부드러운 착지감을 원하는 러너에게 적합.</t>
  </si>
  <si>
    <t>GM-SC-GUIDE-19</t>
  </si>
  <si>
    <t>Guide</t>
  </si>
  <si>
    <t>Saucony Guide 19</t>
  </si>
  <si>
    <t>https://saucony.co.kr/product/list.html?cate_no=131</t>
  </si>
  <si>
    <t>발의 흔들림을 줄이고 안정적인 착지를 돕는 라인. 과내전 성향이나 안정감을 원하는 러너에게 적합.</t>
  </si>
  <si>
    <t>GM-SC-ENDORPHIN-SPEED-5</t>
  </si>
  <si>
    <t>Endorphin Speed</t>
  </si>
  <si>
    <t>Saucony Endorphin Speed 5</t>
  </si>
  <si>
    <t>https://saucony.co.kr/product/%EB%82%A8%EC%84%B1-%EC%97%94%EB%8F%8C%ED%95%80-%EC%8A%A4%ED%94%BC%EB%93%9C-5-%EC%99%80%EC%9D%B4%EB%93%9C-ivoryfire/217/</t>
  </si>
  <si>
    <t>219,000원</t>
  </si>
  <si>
    <t>업템포 훈련, 템포런, 빠른 장거리 훈련용. 나일론 플레이트 기반으로 반발성과 안정성을 함께 노림.</t>
  </si>
  <si>
    <t>GM-SC-ENDORPHIN-PRO-5</t>
  </si>
  <si>
    <t>Endorphin Pro</t>
  </si>
  <si>
    <t>Saucony Endorphin Pro 5</t>
  </si>
  <si>
    <t>https://saucony.co.kr/product/detail.html?cate_no=54&amp;display_group=1&amp;product_no=305</t>
  </si>
  <si>
    <t>299,000원</t>
  </si>
  <si>
    <t>카본 플레이트 기반 레이싱화. 마라톤·하프마라톤 등 기록 단축과 빠른 페이스 유지 목적.</t>
  </si>
  <si>
    <t>GM-MZ-WAVE-RIDER-29</t>
  </si>
  <si>
    <t>Mizuno</t>
  </si>
  <si>
    <t>미즈노</t>
  </si>
  <si>
    <t>Wave Rider</t>
  </si>
  <si>
    <t>29</t>
  </si>
  <si>
    <t>Mizuno Wave Rider 29</t>
  </si>
  <si>
    <t>https://kor.mizuno.com/product/wave-rider-29/11353/</t>
  </si>
  <si>
    <t>미즈노 대표 데일리 러닝화. 쿠션과 안정적인 착지감의 균형이 좋아 기본 훈련용으로 적합.</t>
  </si>
  <si>
    <t>GM-MZ-WAVE-INSPIRE-22</t>
  </si>
  <si>
    <t>Wave Inspire</t>
  </si>
  <si>
    <t>22</t>
  </si>
  <si>
    <t>Mizuno Wave Inspire 22</t>
  </si>
  <si>
    <t>https://kor.mizuno.com/product/wave-inspire-22/11361/</t>
  </si>
  <si>
    <t>지지감과 안정적인 착지 보조가 필요한 러너용. 과내전 성향 또는 안정성 선호자에게 적합.</t>
  </si>
  <si>
    <t>GM-MZ-WAVE-SKY-9</t>
  </si>
  <si>
    <t>Wave Sky</t>
  </si>
  <si>
    <t>Mizuno Wave Sky 9</t>
  </si>
  <si>
    <t>https://kor.mizuno.com/product/wave-sky-9/10667/</t>
  </si>
  <si>
    <t>부드럽고 풍부한 쿠션 중심. 장거리 러닝, 회복주, 편안한 착지감 선호자에게 적합.</t>
  </si>
  <si>
    <t>GM-MZ-WAVE-REBELLION-FLASH-3</t>
  </si>
  <si>
    <t>Wave Rebellion Flash</t>
  </si>
  <si>
    <t>Mizuno Wave Rebellion Flash 3</t>
  </si>
  <si>
    <t>https://kor.mizuno.com/product/wave-rebellion-flash-3/10737</t>
  </si>
  <si>
    <t>빠른 주행감 중심의 스피드 트레이너. 템포런, 인터벌, 레이스 전 훈련용으로 적합.</t>
  </si>
  <si>
    <t>GM-MZ-WAVE-REBELLION-PRO-3</t>
  </si>
  <si>
    <t>Wave Rebellion Pro</t>
  </si>
  <si>
    <t>Mizuno Wave Rebellion Pro 3</t>
  </si>
  <si>
    <t>https://kor.mizuno.com/product/wave-rebellion-pro-3/10605/</t>
  </si>
  <si>
    <t>259,000원</t>
  </si>
  <si>
    <t>카본 레이싱화. 하프~풀마라톤 등 빠른 페이스와 기록 단축을 목표로 하는 상급자용.</t>
  </si>
  <si>
    <t>GM-PM-VELOCITY-NITRO-4</t>
  </si>
  <si>
    <t>PUMA</t>
  </si>
  <si>
    <t>푸마</t>
  </si>
  <si>
    <t>Velocity NITRO</t>
  </si>
  <si>
    <t>PUMA Velocity NITRO 4</t>
  </si>
  <si>
    <t>https://kr.puma.com/kr/ko/pd/%EB%B2%A8%EB%A1%9C%EC%8B%9C%ED%8B%B0-%EB%82%98%EC%9D%B4%ED%8A%B8%EB%A1%9C-4-%EC%9A%B0%EB%A8%BC%EC%8A%A4-%3Cbr%3Evelocity-nitro-4-wns/311141.html</t>
  </si>
  <si>
    <t>125,300원(정가 179,000원)</t>
  </si>
  <si>
    <t>입문~중급 러너용 데일리 트레이너. 쿠션, 반응성, 내구성의 균형이 좋고 짧은 거리부터 장거리까지 무난.</t>
  </si>
  <si>
    <t>GM-PM-MAGMAX-NITRO-2</t>
  </si>
  <si>
    <t>MagMax NITRO</t>
  </si>
  <si>
    <t>PUMA MagMax NITRO 2</t>
  </si>
  <si>
    <t>https://kr.puma.com/kr/ko/search?q=%EB%A7%A4%EA%B7%B8%EB%A7%A5%EC%8A%A4&amp;originalphrase=%EB%A7%A4%EA%B7%B8%EB%A7%A5%EC%8A%A4</t>
  </si>
  <si>
    <t>239,000원</t>
  </si>
  <si>
    <t>풍부한 NITROFOAM 쿠션 중심의 장거리·회복주 라인. 편안함과 충격 완화를 중시하는 러너에게 적합.</t>
  </si>
  <si>
    <t>GM-PM-FOREVERRUN-NITRO-2-WIDE-BASE</t>
  </si>
  <si>
    <t>ForeverRun NITRO</t>
  </si>
  <si>
    <t>ForeverRun NITRO 2 Wide</t>
  </si>
  <si>
    <t>PUMA ForeverRun NITRO 2 Wide</t>
  </si>
  <si>
    <t>https://kr.puma.com/kr/ko/pd/%ED%8F%AC%EC%97%90%EB%B2%84%EB%9F%B0-%EB%82%98%EC%9D%B4%ED%8A%B8%EB%A1%9C-2-%EC%99%80%EC%9D%B4%EB%93%9C-%3Cbr%3Eforeverrun-nitro-2-wide/311050.html</t>
  </si>
  <si>
    <t>159,200원(정가 199,000원)</t>
  </si>
  <si>
    <t>RunGuide 시스템과 넓은 플랫폼으로 안정적인 착지를 돕는 라인. 발 흔들림이 신경 쓰이는 러너에게 적합.</t>
  </si>
  <si>
    <t>GM-PM-DEVIATE-NITRO-4</t>
  </si>
  <si>
    <t>Deviate NITRO</t>
  </si>
  <si>
    <t>PUMA Deviate NITRO 4</t>
  </si>
  <si>
    <t>https://kr.puma.com/kr/ko/pd/%EB%94%94%EB%B9%84%EC%97%90%EC%9D%B4%ED%8A%B8-%EB%82%98%EC%9D%B4%ED%8A%B8%EB%A1%9C-4-%3Cbr%3Edeviate-nitro-4/312123.html</t>
  </si>
  <si>
    <t>PWRPLATE와 NITROFOAM 기반의 슈퍼트레이너. 템포런, 빠른 장거리, 레이스 전 훈련에 적합.</t>
  </si>
  <si>
    <t>GM-PM-FAST-R-NITRO-ELITE-3</t>
  </si>
  <si>
    <t>Fast-R NITRO Elite</t>
  </si>
  <si>
    <t>PUMA Fast-R NITRO Elite 3</t>
  </si>
  <si>
    <t>https://kr.puma.com/kr/ko/pd/%ED%8C%A8%EC%8A%A4%ED%8A%B8%EC%95%8C-%EB%82%98%EC%9D%B4%ED%8A%B8%EB%A1%9C-%EC%97%98%EB%A6%AC%ED%8A%B8-3-%3Cbr%3Efast-r-nitro-elite-3/312060.html</t>
  </si>
  <si>
    <t>379,000원</t>
  </si>
  <si>
    <t>카본 PWRPLATE 기반 레이싱화. 5K부터 마라톤까지 빠른 페이스와 기록 단축 목표에 적합.</t>
  </si>
  <si>
    <t>GM-ON-CLOUDRUNNER-3</t>
  </si>
  <si>
    <t>On</t>
  </si>
  <si>
    <t>온</t>
  </si>
  <si>
    <t>Cloudrunner</t>
  </si>
  <si>
    <t>On Cloudrunner 3</t>
  </si>
  <si>
    <t>https://www.on.com/ko-kr/shop/shoes/cloudrunner</t>
  </si>
  <si>
    <t>안정적인 주행감과 편안함 중심의 데일리 러닝화. 러닝 입문자, 걷기 겸용 사용자에게 적합.</t>
  </si>
  <si>
    <t>GM-ON-CLOUDSURFER-2</t>
  </si>
  <si>
    <t>Cloudsurfer</t>
  </si>
  <si>
    <t>On Cloudsurfer 2</t>
  </si>
  <si>
    <t>https://www.on.com/ko-kr/products/cloudsurfer-2-3mf1012/mens/linen-ivory-shoes-3MF10124751</t>
  </si>
  <si>
    <t>CloudTec Phase 기반의 부드러운 롤링감. 중립형 데일리 러닝과 가벼운 훈련에 적합.</t>
  </si>
  <si>
    <t>GM-ON-CLOUDMONSTER-3</t>
  </si>
  <si>
    <t>Cloudmonster</t>
  </si>
  <si>
    <t>On Cloudmonster 3</t>
  </si>
  <si>
    <t>https://www.on.com/ko-kr/products/cloudmonster-3-w-3wg1003/womens/truffle-ivory-shoes-3WG10034861</t>
  </si>
  <si>
    <t>229,000원</t>
  </si>
  <si>
    <t>풍부한 CloudTec 쿠션과 롤링감이 특징. 장거리, 편안한 데일리, 충격 완화 선호자에게 적합.</t>
  </si>
  <si>
    <t>GM-ON-CLOUDFLOW-5</t>
  </si>
  <si>
    <t>Cloudflow</t>
  </si>
  <si>
    <t>On Cloudflow 5</t>
  </si>
  <si>
    <t>https://www.on.com/ko-kr/products/cloudflow-5-w-3wf1009/womens/juniper-ice-shoes-3WF10094851</t>
  </si>
  <si>
    <t>빠른 훈련, 템포런, 인터벌에 적합한 경량·반응성 라인. 데일리보다 속도 훈련 성격이 강함.</t>
  </si>
  <si>
    <t>GM-ON-CLOUDBOOM-STRIKE-BASE</t>
  </si>
  <si>
    <t>Cloudboom Strike</t>
  </si>
  <si>
    <t>On Cloudboom Strike</t>
  </si>
  <si>
    <t>https://www.on.com/ko-kr/products/cloudboom-strike-3me3048/mens/juniper-limelight-shoes-3ME30484834</t>
  </si>
  <si>
    <t>마라톤 레이스용 고성능 모델. 추진력 있는 Speedboard와 고반발 폼 기반의 레이스화.</t>
  </si>
  <si>
    <t>GM-BR-GHOST-18</t>
  </si>
  <si>
    <t>Brooks</t>
  </si>
  <si>
    <t>브룩스</t>
  </si>
  <si>
    <t>Ghost</t>
  </si>
  <si>
    <t>Brooks Ghost 18</t>
  </si>
  <si>
    <t>https://www.brooksrunning.com/en_us/mens/shoes/road-running-shoes/ghost-18/110493.html</t>
  </si>
  <si>
    <t>$150.00</t>
  </si>
  <si>
    <t>브룩스 대표 데일리 러닝화. 균형 잡힌 쿠션과 편안한 착화감으로 입문~중급 러너에게 무난.</t>
  </si>
  <si>
    <t>KR_SALE_NOT_CONFIRMED_IN_SOURCE;DIRECT_IMAGE_URL_NOT_VERIFIED</t>
  </si>
  <si>
    <t>GM-BR-GLYCERIN-23</t>
  </si>
  <si>
    <t>Glycerin</t>
  </si>
  <si>
    <t>Brooks Glycerin 23</t>
  </si>
  <si>
    <t>https://www.brooksrunning.com/en_us/mens/shoes/road-running-shoes/glycerin-23/1104761D020.100.html</t>
  </si>
  <si>
    <t>$175.00</t>
  </si>
  <si>
    <t>프리미엄 쿠션 중심의 장거리·회복주 라인. 부드럽고 편안한 착화감을 중시하는 러너에게 적합.</t>
  </si>
  <si>
    <t>GM-BR-ADRENALINE-GTS-25</t>
  </si>
  <si>
    <t>Adrenaline GTS</t>
  </si>
  <si>
    <t>25</t>
  </si>
  <si>
    <t>Brooks Adrenaline GTS 25</t>
  </si>
  <si>
    <t>https://www.brooksrunning.com/en_us/mens/shoes/road-running-shoes/adrenaline-gts-25/1104541D055.090.html</t>
  </si>
  <si>
    <t>$155.00</t>
  </si>
  <si>
    <t>GuideRails 지지 시스템 기반 안정화 러닝화. 과도한 움직임을 줄이고 안정적인 주행을 돕는 라인.</t>
  </si>
  <si>
    <t>GM-BR-GHOST-MAX-3</t>
  </si>
  <si>
    <t>Ghost Max</t>
  </si>
  <si>
    <t>Brooks Ghost Max 3</t>
  </si>
  <si>
    <t>https://www.brooksrunning.com/en_us/ghost-max-3/1104642E020.125.html</t>
  </si>
  <si>
    <t>$119.95(정가 $160.00)</t>
  </si>
  <si>
    <t>고스트의 맥시멀 쿠션 버전. 충격 흡수, 편안한 롤링감, 걷기 겸용까지 고려한 라인.</t>
  </si>
  <si>
    <t>GM-BR-HYPERION-ELITE-5</t>
  </si>
  <si>
    <t>Hyperion Elite</t>
  </si>
  <si>
    <t>Brooks Hyperion Elite 5</t>
  </si>
  <si>
    <t>https://www.brooksrunning.com/en_us/featured/unisex-running-shoes/hyperion-elite-5/1000491D681.090.html</t>
  </si>
  <si>
    <t>$199.95(정가 $275.00)</t>
  </si>
  <si>
    <t>브룩스 최상급 카본 레이싱화. 5K~마라톤 레이스, 빠른 전환, 기록 단축 목적에 적합.</t>
  </si>
  <si>
    <t>primary_use</t>
  </si>
  <si>
    <t>secondary_use_tags</t>
  </si>
  <si>
    <t>cushion_score</t>
  </si>
  <si>
    <t>stability_score</t>
  </si>
  <si>
    <t>responsiveness_score</t>
  </si>
  <si>
    <t>weight_g</t>
  </si>
  <si>
    <t>drop_mm</t>
  </si>
  <si>
    <t>plate_type</t>
  </si>
  <si>
    <t>fit_width</t>
  </si>
  <si>
    <t>wide_option</t>
  </si>
  <si>
    <t>runner_level_fit</t>
  </si>
  <si>
    <t>distance_fit</t>
  </si>
  <si>
    <t>caution_tags</t>
  </si>
  <si>
    <t>caution_detail_tags</t>
  </si>
  <si>
    <t>review_evidence_count</t>
  </si>
  <si>
    <t>evidence_source_summary</t>
  </si>
  <si>
    <t>normalization_rule_version</t>
  </si>
  <si>
    <t>missing_required_count</t>
  </si>
  <si>
    <t>eligibility_gap_summary</t>
  </si>
  <si>
    <t>ready_for_recommendation</t>
  </si>
  <si>
    <t>DAILY</t>
  </si>
  <si>
    <t>HEAVY;OTHER</t>
  </si>
  <si>
    <t>FOREFOOT_PRESSURE;HEAT_BREATHABILITY</t>
  </si>
  <si>
    <t>A_RTINGS | RTINGS_DIRECT | 공식/기존 Review Evidence 병행</t>
  </si>
  <si>
    <t>PERF_NORM_v0.2 / USE_CASE_v0.2 / FIT_v0.2</t>
  </si>
  <si>
    <t>LONG</t>
  </si>
  <si>
    <t>FIT_NARROW;OTHER</t>
  </si>
  <si>
    <t>HEAT_BREATHABILITY</t>
  </si>
  <si>
    <t>Official migrated + external review 0건</t>
  </si>
  <si>
    <t>USE_CASE_MIGRATION_v0.1 / FIT_CAUTION_RULE_v0.1</t>
  </si>
  <si>
    <t>cushion_score, stability_score, responsiveness_score, weight_g, drop_mm, plate_type, fit_width, wide_option, runner_level_fit</t>
  </si>
  <si>
    <t>OTHER</t>
  </si>
  <si>
    <t>Official migrated + external review 1건</t>
  </si>
  <si>
    <t>STABILITY</t>
  </si>
  <si>
    <t>DURABILITY;HEAT_BREATHABILITY</t>
  </si>
  <si>
    <t>B_RUNREPEAT | RUNREPEAT_RELATIVE | 공식/기존 Review Evidence 병행</t>
  </si>
  <si>
    <t>cushion_score, stability_score, responsiveness_score, weight_g, drop_mm, plate_type, fit_width, wide_option, runner_level_fit, distance_fit, msrp_krw</t>
  </si>
  <si>
    <t>TEMPO</t>
  </si>
  <si>
    <t>CARBON</t>
  </si>
  <si>
    <t>AGGRESSIVE_RIDE;OTHER;PLATE_STIFF</t>
  </si>
  <si>
    <t>Official migrated + external review 4건</t>
  </si>
  <si>
    <t>cushion_score, stability_score, responsiveness_score, weight_g, drop_mm, fit_width, wide_option, runner_level_fit, distance_fit</t>
  </si>
  <si>
    <t>RACE</t>
  </si>
  <si>
    <t>ADVANCED</t>
  </si>
  <si>
    <t>AGGRESSIVE_RIDE;OTHER</t>
  </si>
  <si>
    <t>Official migrated + external review 2건</t>
  </si>
  <si>
    <t>cushion_score, stability_score, responsiveness_score, weight_g, drop_mm, fit_width, wide_option</t>
  </si>
  <si>
    <t>RECOVERY</t>
  </si>
  <si>
    <t>NARROW</t>
  </si>
  <si>
    <t>FIT_NARROW;HEAVY;OTHER</t>
  </si>
  <si>
    <t>BLISTER</t>
  </si>
  <si>
    <t>Official migrated + external review 5건</t>
  </si>
  <si>
    <t>cushion_score, stability_score, responsiveness_score, weight_g, drop_mm, plate_type, wide_option, runner_level_fit, msrp_krw</t>
  </si>
  <si>
    <t>cushion_score, stability_score, responsiveness_score, weight_g, drop_mm, plate_type, fit_width, wide_option, runner_level_fit, msrp_krw</t>
  </si>
  <si>
    <t>HEAT_BREATHABILITY;HEEL_SLIP</t>
  </si>
  <si>
    <t>BEGINNER</t>
  </si>
  <si>
    <t>cushion_score, stability_score, responsiveness_score, weight_g, drop_mm, plate_type, fit_width, wide_option, distance_fit, msrp_krw</t>
  </si>
  <si>
    <t>DURABILITY</t>
  </si>
  <si>
    <t>BLISTER;DURABILITY</t>
  </si>
  <si>
    <t>A_RTINGS | RTINGS_COMPOSITE | 공식/기존 Review Evidence 병행</t>
  </si>
  <si>
    <t>DAILY;TEMPO</t>
  </si>
  <si>
    <t>C_OFFICIAL_ONLY | OFFICIAL_FACT_ONLY | 공식/기존 Review Evidence 병행</t>
  </si>
  <si>
    <t>OTHER;STABILITY_LOW</t>
  </si>
  <si>
    <t>cushion_score, stability_score, responsiveness_score, weight_g, drop_mm, plate_type, fit_width, wide_option, distance_fit</t>
  </si>
  <si>
    <t>FIT_NARROW;FIT_WIDE;OTHER</t>
  </si>
  <si>
    <t>FOREFOOT_PRESSURE</t>
  </si>
  <si>
    <t>FIT_NARROW;OTHER;STABILITY_LOW</t>
  </si>
  <si>
    <t>BLISTER;FOREFOOT_PRESSURE</t>
  </si>
  <si>
    <t>AGGRESSIVE_RIDE;FIT_NARROW;OTHER;STABILITY_LOW</t>
  </si>
  <si>
    <t>BLISTER;HEEL_SLIP</t>
  </si>
  <si>
    <t>Official migrated + external review 7건</t>
  </si>
  <si>
    <t>cushion_score, stability_score, responsiveness_score, weight_g, drop_mm, plate_type, wide_option, runner_level_fit, distance_fit</t>
  </si>
  <si>
    <t>BLISTER;DURABILITY;HEEL_SLIP</t>
  </si>
  <si>
    <t>Official migrated + external review 6건</t>
  </si>
  <si>
    <t>FIT_NARROW;STABILITY_LOW</t>
  </si>
  <si>
    <t>AGGRESSIVE_RIDE;FIT_NARROW;HEAVY;OTHER</t>
  </si>
  <si>
    <t>DURABILITY;HEAT_BREATHABILITY;WET_GRIP</t>
  </si>
  <si>
    <t>NONE</t>
  </si>
  <si>
    <t>cushion_score, stability_score, responsiveness_score, weight_g, drop_mm, fit_width, wide_option, runner_level_fit</t>
  </si>
  <si>
    <t>AGGRESSIVE_RIDE;OTHER;STABILITY_LOW</t>
  </si>
  <si>
    <t>cushion_score, stability_score, responsiveness_score, weight_g, drop_mm, fit_width, wide_option, distance_fit</t>
  </si>
  <si>
    <t>HEAT_BREATHABILITY;WET_GRIP</t>
  </si>
  <si>
    <t>AGGRESSIVE_RIDE;FIT_NARROW;OTHER</t>
  </si>
  <si>
    <t>FIT_WIDE;HEAVY;OTHER</t>
  </si>
  <si>
    <t>WET_GRIP</t>
  </si>
  <si>
    <t>BLISTER;DURABILITY;HEAT_BREATHABILITY</t>
  </si>
  <si>
    <t>A_RTINGS | RTINGS_ER_PROXY | 공식/기존 Review Evidence 병행</t>
  </si>
  <si>
    <t>cushion_score, stability_score, responsiveness_score, weight_g, drop_mm, plate_type, wide_option, runner_level_fit</t>
  </si>
  <si>
    <t>HEEL_SLIP</t>
  </si>
  <si>
    <t>BLISTER;HEAT_BREATHABILITY</t>
  </si>
  <si>
    <t>TRUE</t>
  </si>
  <si>
    <t>cushion_score, stability_score, responsiveness_score, weight_g, drop_mm, plate_type, fit_width, runner_level_fit, distance_fit</t>
  </si>
  <si>
    <t>DURABILITY;FOREFOOT_PRESSURE</t>
  </si>
  <si>
    <t>BLISTER;DURABILITY;FOREFOOT_PRESSURE</t>
  </si>
  <si>
    <t>Official migrated + external review 3건</t>
  </si>
  <si>
    <t>cushion_score, stability_score, responsiveness_score, weight_g, drop_mm, plate_type, wide_option, distance_fit</t>
  </si>
  <si>
    <t>FIT_NARROW;OTHER;PLATE_STIFF</t>
  </si>
  <si>
    <t>BLISTER;DURABILITY;HEAT_BREATHABILITY;HEEL_SLIP;WET_GRIP</t>
  </si>
  <si>
    <t>Official migrated + external review 12건</t>
  </si>
  <si>
    <t>cushion_score, stability_score, responsiveness_score, weight_g, drop_mm, wide_option, runner_level_fit</t>
  </si>
  <si>
    <t>BLISTER;DURABILITY;FOREFOOT_PRESSURE;HEAT_BREATHABILITY;HEEL_SLIP;WET_GRIP</t>
  </si>
  <si>
    <t>Official migrated + external review 10건</t>
  </si>
  <si>
    <t>ALL</t>
  </si>
  <si>
    <t>DURABILITY;FOREFOOT_PRESSURE;HEEL_SLIP</t>
  </si>
  <si>
    <t>cushion_score, stability_score, responsiveness_score, weight_g, drop_mm, wide_option</t>
  </si>
  <si>
    <t>evidence_id</t>
  </si>
  <si>
    <t>evidence_level</t>
  </si>
  <si>
    <t>product_or_series</t>
  </si>
  <si>
    <t>attribute_name</t>
  </si>
  <si>
    <t>raw_value</t>
  </si>
  <si>
    <t>normalized_value</t>
  </si>
  <si>
    <t>source_type</t>
  </si>
  <si>
    <t>source_kind</t>
  </si>
  <si>
    <t>source_url</t>
  </si>
  <si>
    <t>verified_at</t>
  </si>
  <si>
    <t>confidence</t>
  </si>
  <si>
    <t>market_context</t>
  </si>
  <si>
    <t>notes</t>
  </si>
  <si>
    <t>EV-0001</t>
  </si>
  <si>
    <t>PRODUCT</t>
  </si>
  <si>
    <t>MSRP_RAW</t>
  </si>
  <si>
    <t>OFFICIAL_BRAND</t>
  </si>
  <si>
    <t>MIGRATED_OFFICIAL_REFERENCE</t>
  </si>
  <si>
    <t>MEDIUM</t>
  </si>
  <si>
    <t>PRICE_MIGRATION_v0.1</t>
  </si>
  <si>
    <t>기존 통합 DB의 공식 브랜드 출처 값을 이관. 범위 가격은 exact MSRP로 확정하지 않음.</t>
  </si>
  <si>
    <t>EV-V02-1000</t>
  </si>
  <si>
    <t>CUSHION</t>
  </si>
  <si>
    <t>See 05_v0.2_Benchmark row 2</t>
  </si>
  <si>
    <t>INDEPENDENT_LAB</t>
  </si>
  <si>
    <t>RTINGS_DIRECT</t>
  </si>
  <si>
    <t>https://www.rtings.com/running-shoes/reviews/asics/novablast-5</t>
  </si>
  <si>
    <t>HIGH</t>
  </si>
  <si>
    <t>KR_MVP</t>
  </si>
  <si>
    <t>v0.2 research update. Source URL retained; commercial reuse/licensing must be reviewed before production.</t>
  </si>
  <si>
    <t>EV-V02-1001</t>
  </si>
  <si>
    <t>EV-V02-1002</t>
  </si>
  <si>
    <t>RESPONSIVENESS</t>
  </si>
  <si>
    <t>EV-V02-1003</t>
  </si>
  <si>
    <t>WEIGHT_G</t>
  </si>
  <si>
    <t>EV-V02-1004</t>
  </si>
  <si>
    <t>DROP_MM</t>
  </si>
  <si>
    <t>EV-V02-1005</t>
  </si>
  <si>
    <t>PLATE_TYPE</t>
  </si>
  <si>
    <t>EV-V02-1006</t>
  </si>
  <si>
    <t>WIDE_OPTION</t>
  </si>
  <si>
    <t>EV-V02-1007</t>
  </si>
  <si>
    <t>See 05_v0.2_Benchmark row 3</t>
  </si>
  <si>
    <t>RTINGS_ER_PROXY</t>
  </si>
  <si>
    <t>https://www.rtings.com/running-shoes/reviews/on/cloudsurfer-2</t>
  </si>
  <si>
    <t>EV-V02-1008</t>
  </si>
  <si>
    <t>EV-V02-1009</t>
  </si>
  <si>
    <t>EV-V02-1010</t>
  </si>
  <si>
    <t>EV-V02-1011</t>
  </si>
  <si>
    <t>EV-V02-1012</t>
  </si>
  <si>
    <t>EV-V02-1013</t>
  </si>
  <si>
    <t>FALSE</t>
  </si>
  <si>
    <t>EV-V02-1014</t>
  </si>
  <si>
    <t>See 05_v0.2_Benchmark row 4</t>
  </si>
  <si>
    <t>https://www.rtings.com/running-shoes/reviews/saucony/ride-19</t>
  </si>
  <si>
    <t>EV-V02-1015</t>
  </si>
  <si>
    <t>EV-V02-1016</t>
  </si>
  <si>
    <t>EV-V02-1017</t>
  </si>
  <si>
    <t>EV-V02-1018</t>
  </si>
  <si>
    <t>EV-V02-1019</t>
  </si>
  <si>
    <t>EV-V02-1020</t>
  </si>
  <si>
    <t>EV-V02-1021</t>
  </si>
  <si>
    <t>See 05_v0.2_Benchmark row 5</t>
  </si>
  <si>
    <t>OFFICIAL_FACT_ONLY</t>
  </si>
  <si>
    <t>https://www.adidas.co.kr/%EB%93%80%EB%9D%BC%EB%AA%A8-sl-2/IH8218.html</t>
  </si>
  <si>
    <t>LOW</t>
  </si>
  <si>
    <t>EV-V02-1022</t>
  </si>
  <si>
    <t>EV-V02-1023</t>
  </si>
  <si>
    <t>EV-V02-1024</t>
  </si>
  <si>
    <t>EV-V02-1025</t>
  </si>
  <si>
    <t>EV-V02-1026</t>
  </si>
  <si>
    <t>EV-V02-1027</t>
  </si>
  <si>
    <t>EV-V02-1028</t>
  </si>
  <si>
    <t>See 05_v0.2_Benchmark row 6</t>
  </si>
  <si>
    <t>https://www.rtings.com/running-shoes/reviews/adidas/supernova-rise-3</t>
  </si>
  <si>
    <t>EV-V02-1029</t>
  </si>
  <si>
    <t>EV-V02-1030</t>
  </si>
  <si>
    <t>EV-V02-1031</t>
  </si>
  <si>
    <t>EV-V02-1032</t>
  </si>
  <si>
    <t>EV-V02-1033</t>
  </si>
  <si>
    <t>EV-V02-1034</t>
  </si>
  <si>
    <t>EV-V02-1035</t>
  </si>
  <si>
    <t>See 05_v0.2_Benchmark row 7</t>
  </si>
  <si>
    <t>https://www.rtings.com/running-shoes/reviews/asics/gel-nimbus-28</t>
  </si>
  <si>
    <t>EV-V02-1036</t>
  </si>
  <si>
    <t>EV-V02-1037</t>
  </si>
  <si>
    <t>EV-V02-1038</t>
  </si>
  <si>
    <t>EV-V02-1039</t>
  </si>
  <si>
    <t>EV-V02-1040</t>
  </si>
  <si>
    <t>EV-V02-1041</t>
  </si>
  <si>
    <t>EV-V02-1042</t>
  </si>
  <si>
    <t>See 05_v0.2_Benchmark row 8</t>
  </si>
  <si>
    <t>https://www.rtings.com/running-shoes/reviews/mizuno/wave-rider-29</t>
  </si>
  <si>
    <t>EV-V02-1043</t>
  </si>
  <si>
    <t>EV-V02-1044</t>
  </si>
  <si>
    <t>EV-V02-1045</t>
  </si>
  <si>
    <t>EV-V02-1046</t>
  </si>
  <si>
    <t>EV-V02-1047</t>
  </si>
  <si>
    <t>EV-V02-1048</t>
  </si>
  <si>
    <t>EV-V02-1049</t>
  </si>
  <si>
    <t>See 05_v0.2_Benchmark row 9</t>
  </si>
  <si>
    <t>https://www.rtings.com/running-shoes/reviews/new-balance/fresh-foam-x-1080v15-green</t>
  </si>
  <si>
    <t>EV-V02-1050</t>
  </si>
  <si>
    <t>EV-V02-1051</t>
  </si>
  <si>
    <t>EV-V02-1052</t>
  </si>
  <si>
    <t>EV-V02-1053</t>
  </si>
  <si>
    <t>EV-V02-1054</t>
  </si>
  <si>
    <t>EV-V02-1055</t>
  </si>
  <si>
    <t>EV-V02-1056</t>
  </si>
  <si>
    <t>See 05_v0.2_Benchmark row 10</t>
  </si>
  <si>
    <t>https://www.rtings.com/running-shoes/reviews/new-balance/fresh-foam-x-880v15-white</t>
  </si>
  <si>
    <t>EV-V02-1057</t>
  </si>
  <si>
    <t>EV-V02-1058</t>
  </si>
  <si>
    <t>EV-V02-1059</t>
  </si>
  <si>
    <t>EV-V02-1060</t>
  </si>
  <si>
    <t>EV-V02-1061</t>
  </si>
  <si>
    <t>EV-V02-1062</t>
  </si>
  <si>
    <t>EV-V02-1063</t>
  </si>
  <si>
    <t>See 05_v0.2_Benchmark row 11</t>
  </si>
  <si>
    <t>https://www.rtings.com/running-shoes/reviews/nike/vomero-18</t>
  </si>
  <si>
    <t>EV-V02-1064</t>
  </si>
  <si>
    <t>EV-V02-1065</t>
  </si>
  <si>
    <t>EV-V02-1066</t>
  </si>
  <si>
    <t>EV-V02-1067</t>
  </si>
  <si>
    <t>EV-V02-1068</t>
  </si>
  <si>
    <t>EV-V02-1069</t>
  </si>
  <si>
    <t>EV-V02-1070</t>
  </si>
  <si>
    <t>See 05_v0.2_Benchmark row 12</t>
  </si>
  <si>
    <t>https://www.rtings.com/running-shoes/reviews/puma/velocity-nitro-4</t>
  </si>
  <si>
    <t>EV-V02-1071</t>
  </si>
  <si>
    <t>EV-V02-1072</t>
  </si>
  <si>
    <t>EV-V02-1073</t>
  </si>
  <si>
    <t>EV-V02-1074</t>
  </si>
  <si>
    <t>EV-V02-1075</t>
  </si>
  <si>
    <t>EV-V02-1076</t>
  </si>
  <si>
    <t>EV-V02-1077</t>
  </si>
  <si>
    <t>See 05_v0.2_Benchmark row 13</t>
  </si>
  <si>
    <t>RTINGS_COMPOSITE</t>
  </si>
  <si>
    <t>https://www.rtings.com/running-shoes/reviews/saucony/triumph-23</t>
  </si>
  <si>
    <t>EV-V02-1078</t>
  </si>
  <si>
    <t>EV-V02-1079</t>
  </si>
  <si>
    <t>B=6.9,S=7.2,R=7.2</t>
  </si>
  <si>
    <t>EV-V02-1080</t>
  </si>
  <si>
    <t>EV-V02-1081</t>
  </si>
  <si>
    <t>EV-V02-1082</t>
  </si>
  <si>
    <t>EV-V02-1083</t>
  </si>
  <si>
    <t>EV-V02-1084</t>
  </si>
  <si>
    <t>See 05_v0.2_Benchmark row 14</t>
  </si>
  <si>
    <t>https://www.rtings.com/running-shoes/reviews/asics/gel-kayano-33</t>
  </si>
  <si>
    <t>EV-V02-1085</t>
  </si>
  <si>
    <t>EV-V02-1086</t>
  </si>
  <si>
    <t>EV-V02-1087</t>
  </si>
  <si>
    <t>EV-V02-1088</t>
  </si>
  <si>
    <t>EV-V02-1089</t>
  </si>
  <si>
    <t>EV-V02-1090</t>
  </si>
  <si>
    <t>EV-V02-1091</t>
  </si>
  <si>
    <t>See 05_v0.2_Benchmark row 15</t>
  </si>
  <si>
    <t>RUNREPEAT_RELATIVE</t>
  </si>
  <si>
    <t>https://runrepeat.com/mizuno-wave-inspire-22</t>
  </si>
  <si>
    <t>EV-V02-1092</t>
  </si>
  <si>
    <t>EV-V02-1093</t>
  </si>
  <si>
    <t>EV-V02-1094</t>
  </si>
  <si>
    <t>EV-V02-1095</t>
  </si>
  <si>
    <t>EV-V02-1096</t>
  </si>
  <si>
    <t>EV-V02-1097</t>
  </si>
  <si>
    <t>EV-V02-1098</t>
  </si>
  <si>
    <t>See 05_v0.2_Benchmark row 16</t>
  </si>
  <si>
    <t>https://www.rtings.com/running-shoes/reviews/new-balance/fresh-foam-x-860v15</t>
  </si>
  <si>
    <t>EV-V02-1099</t>
  </si>
  <si>
    <t>EV-V02-1100</t>
  </si>
  <si>
    <t>EV-V02-1101</t>
  </si>
  <si>
    <t>EV-V02-1102</t>
  </si>
  <si>
    <t>EV-V02-1103</t>
  </si>
  <si>
    <t>EV-V02-1104</t>
  </si>
  <si>
    <t>EV-V02-1105</t>
  </si>
  <si>
    <t>See 05_v0.2_Benchmark row 17</t>
  </si>
  <si>
    <t>https://runrepeat.com/nike-structure-26</t>
  </si>
  <si>
    <t>EV-V02-1106</t>
  </si>
  <si>
    <t>VERY_HIGH</t>
  </si>
  <si>
    <t>EV-V02-1107</t>
  </si>
  <si>
    <t>EV-V02-1108</t>
  </si>
  <si>
    <t>EV-V02-1109</t>
  </si>
  <si>
    <t>EV-V02-1110</t>
  </si>
  <si>
    <t>EV-V02-1111</t>
  </si>
  <si>
    <t>EV-V02-1112</t>
  </si>
  <si>
    <t>See 05_v0.2_Benchmark row 18</t>
  </si>
  <si>
    <t>https://www.rtings.com/running-shoes/reviews/saucony/guide-19</t>
  </si>
  <si>
    <t>EV-V02-1113</t>
  </si>
  <si>
    <t>EV-V02-1114</t>
  </si>
  <si>
    <t>EV-V02-1115</t>
  </si>
  <si>
    <t>EV-V02-1116</t>
  </si>
  <si>
    <t>EV-V02-1117</t>
  </si>
  <si>
    <t>EV-V02-1118</t>
  </si>
  <si>
    <t>EV-V02-1119</t>
  </si>
  <si>
    <t>See 05_v0.2_Benchmark row 19</t>
  </si>
  <si>
    <t>https://www.rtings.com/running-shoes/reviews/asics/magic-speed-5-carbon-fiber</t>
  </si>
  <si>
    <t>EV-V02-1120</t>
  </si>
  <si>
    <t>EV-V02-1121</t>
  </si>
  <si>
    <t>EV-V02-1122</t>
  </si>
  <si>
    <t>EV-V02-1123</t>
  </si>
  <si>
    <t>EV-V02-1124</t>
  </si>
  <si>
    <t>EV-V02-1125</t>
  </si>
  <si>
    <t>EV-V02-1126</t>
  </si>
  <si>
    <t>See 05_v0.2_Benchmark row 20</t>
  </si>
  <si>
    <t>https://www.rtings.com/running-shoes/reviews/asics/superblast-3-blue</t>
  </si>
  <si>
    <t>EV-V02-1127</t>
  </si>
  <si>
    <t>EV-V02-1128</t>
  </si>
  <si>
    <t>B=7.8,S=6.4,R=7.6</t>
  </si>
  <si>
    <t>EV-V02-1129</t>
  </si>
  <si>
    <t>EV-V02-1130</t>
  </si>
  <si>
    <t>EV-V02-1131</t>
  </si>
  <si>
    <t>EV-V02-1132</t>
  </si>
  <si>
    <t>EV-V02-1133</t>
  </si>
  <si>
    <t>See 05_v0.2_Benchmark row 21</t>
  </si>
  <si>
    <t>https://www.rtings.com/running-shoes/reviews/nike/pegasus-42</t>
  </si>
  <si>
    <t>EV-V02-1134</t>
  </si>
  <si>
    <t>EV-V02-1135</t>
  </si>
  <si>
    <t>EV-V02-1136</t>
  </si>
  <si>
    <t>EV-V02-1137</t>
  </si>
  <si>
    <t>EV-V02-1138</t>
  </si>
  <si>
    <t>EV-V02-1139</t>
  </si>
  <si>
    <t>EV-V02-1140</t>
  </si>
  <si>
    <t>See 05_v0.2_Benchmark row 22</t>
  </si>
  <si>
    <t>https://www.rtings.com/running-shoes/reviews/saucony/endorphin-speed-5</t>
  </si>
  <si>
    <t>EV-V02-1141</t>
  </si>
  <si>
    <t>EV-V02-1142</t>
  </si>
  <si>
    <t>EV-V02-1143</t>
  </si>
  <si>
    <t>EV-V02-1144</t>
  </si>
  <si>
    <t>EV-V02-1145</t>
  </si>
  <si>
    <t>NYLON</t>
  </si>
  <si>
    <t>EV-V02-1146</t>
  </si>
  <si>
    <t>EV-V02-1147</t>
  </si>
  <si>
    <t>See 05_v0.2_Benchmark row 23</t>
  </si>
  <si>
    <t>https://www.rtings.com/running-shoes/reviews/adidas/adizero-evo-sl</t>
  </si>
  <si>
    <t>EV-V02-1148</t>
  </si>
  <si>
    <t>EV-V02-1149</t>
  </si>
  <si>
    <t>B=7.0,S=7.0,R=6.7</t>
  </si>
  <si>
    <t>EV-V02-1150</t>
  </si>
  <si>
    <t>EV-V02-1151</t>
  </si>
  <si>
    <t>EV-V02-1152</t>
  </si>
  <si>
    <t>EV-V02-1153</t>
  </si>
  <si>
    <t>EV-V02-1154</t>
  </si>
  <si>
    <t>See 05_v0.2_Benchmark row 24</t>
  </si>
  <si>
    <t>https://runrepeat.com/adidas-adizero-sl2</t>
  </si>
  <si>
    <t>EV-V02-1155</t>
  </si>
  <si>
    <t>EV-V02-1156</t>
  </si>
  <si>
    <t>EV-V02-1157</t>
  </si>
  <si>
    <t>EV-V02-1158</t>
  </si>
  <si>
    <t>EV-V02-1159</t>
  </si>
  <si>
    <t>EV-V02-1160</t>
  </si>
  <si>
    <t>EV-V02-1161</t>
  </si>
  <si>
    <t>See 05_v0.2_Benchmark row 25</t>
  </si>
  <si>
    <t>https://www.rtings.com/running-shoes/reviews/asics/metaspeed-sky-tokyo</t>
  </si>
  <si>
    <t>EV-V02-1162</t>
  </si>
  <si>
    <t>EV-V02-1163</t>
  </si>
  <si>
    <t>B=7.8,S=7.9,R=7.7</t>
  </si>
  <si>
    <t>EV-V02-1164</t>
  </si>
  <si>
    <t>EV-V02-1165</t>
  </si>
  <si>
    <t>EV-V02-1166</t>
  </si>
  <si>
    <t>EV-V02-1167</t>
  </si>
  <si>
    <t>EV-V02-1168</t>
  </si>
  <si>
    <t>See 05_v0.2_Benchmark row 26</t>
  </si>
  <si>
    <t>https://www.rtings.com/running-shoes/reviews/mizuno/wave-rebellion-flash-3</t>
  </si>
  <si>
    <t>EV-V02-1169</t>
  </si>
  <si>
    <t>EV-V02-1170</t>
  </si>
  <si>
    <t>EV-V02-1171</t>
  </si>
  <si>
    <t>EV-V02-1172</t>
  </si>
  <si>
    <t>EV-V02-1173</t>
  </si>
  <si>
    <t>EV-V02-1174</t>
  </si>
  <si>
    <t>EV-V02-1175</t>
  </si>
  <si>
    <t>See 05_v0.2_Benchmark row 27</t>
  </si>
  <si>
    <t>https://www.rtings.com/running-shoes/reviews/new-balance/fuelcell-supercomp-elite-v5</t>
  </si>
  <si>
    <t>EV-V02-1176</t>
  </si>
  <si>
    <t>EV-V02-1177</t>
  </si>
  <si>
    <t>EV-V02-1178</t>
  </si>
  <si>
    <t>EV-V02-1179</t>
  </si>
  <si>
    <t>EV-V02-1180</t>
  </si>
  <si>
    <t>EV-V02-1181</t>
  </si>
  <si>
    <t>EV-V02-1182</t>
  </si>
  <si>
    <t>See 05_v0.2_Benchmark row 28</t>
  </si>
  <si>
    <t>https://www.rtings.com/running-shoes/reviews/puma/deviate-nitro-4</t>
  </si>
  <si>
    <t>EV-V02-1183</t>
  </si>
  <si>
    <t>EV-V02-1184</t>
  </si>
  <si>
    <t>EV-V02-1185</t>
  </si>
  <si>
    <t>EV-V02-1186</t>
  </si>
  <si>
    <t>EV-V02-1187</t>
  </si>
  <si>
    <t>EV-V02-1188</t>
  </si>
  <si>
    <t>EV-V02-1189</t>
  </si>
  <si>
    <t>See 05_v0.2_Benchmark row 29</t>
  </si>
  <si>
    <t>https://www.rtings.com/running-shoes/reviews/puma/fast-r-nitro-elite-3</t>
  </si>
  <si>
    <t>EV-V02-1190</t>
  </si>
  <si>
    <t>EV-V02-1191</t>
  </si>
  <si>
    <t>B=7.8,S=7.6,R=8.3</t>
  </si>
  <si>
    <t>EV-V02-1192</t>
  </si>
  <si>
    <t>EV-V02-1193</t>
  </si>
  <si>
    <t>EV-V02-1194</t>
  </si>
  <si>
    <t>EV-V02-1195</t>
  </si>
  <si>
    <t>EV-V02-1196</t>
  </si>
  <si>
    <t>See 05_v0.2_Benchmark row 30</t>
  </si>
  <si>
    <t>https://www.rtings.com/running-shoes/reviews/saucony/endorphin-pro-5-pink</t>
  </si>
  <si>
    <t>EV-V02-1197</t>
  </si>
  <si>
    <t>EV-V02-1198</t>
  </si>
  <si>
    <t>EV-V02-1199</t>
  </si>
  <si>
    <t>EV-V02-1200</t>
  </si>
  <si>
    <t>EV-V02-1201</t>
  </si>
  <si>
    <t>EV-V02-1202</t>
  </si>
  <si>
    <t>EV-V02-1203</t>
  </si>
  <si>
    <t>See 05_v0.2_Benchmark row 31</t>
  </si>
  <si>
    <t>https://www.rtings.com/running-shoes/reviews/adidas/adizero-adios-pro-4</t>
  </si>
  <si>
    <t>EV-V02-1204</t>
  </si>
  <si>
    <t>EV-V02-1205</t>
  </si>
  <si>
    <t>EV-V02-1206</t>
  </si>
  <si>
    <t>EV-V02-1207</t>
  </si>
  <si>
    <t>EV-V02-1208</t>
  </si>
  <si>
    <t>EV-V02-1209</t>
  </si>
  <si>
    <t>EV-0212</t>
  </si>
  <si>
    <t>REVIEW_CAUTION</t>
  </si>
  <si>
    <t>오래 달리면 발이 아플 수 있어요. 발바닥 전체로 착지하는 분들에게는 추천하지 않아요.
카본 플레이트 아래층 폼이 너무 두껍고 부드러워 착...</t>
  </si>
  <si>
    <t>EXPERT_REVIEW</t>
  </si>
  <si>
    <t>리뷰 플랫폼 사용자 의견</t>
  </si>
  <si>
    <t>https://kr.poizon.com/reviews/mizuno-wave-rebellion-pro-3-neo-mint-</t>
  </si>
  <si>
    <t>FIT_CAUTION_RULE_v0.1</t>
  </si>
  <si>
    <t>KR_REVIEW</t>
  </si>
  <si>
    <t>외부 리뷰는 GearMatch First-party가 아니며 정성 Caution 보조 근거로만 사용.</t>
  </si>
  <si>
    <t>EV-0213</t>
  </si>
  <si>
    <t>댓글 1. 달려보지는 않았지만, 신고 서 있을 때 안쪽으로 무너져서 바로 벗었는데
댓글 3. 1. 안정성 떨어짐...회내이슈있는분은 신으면...</t>
  </si>
  <si>
    <t>국내 YouTube 리뷰·댓글</t>
  </si>
  <si>
    <t>https://www.youtube.com/watch?v=sa3hpaYq-0Q</t>
  </si>
  <si>
    <t>EV-0214</t>
  </si>
  <si>
    <t>토박스(발가락 공간)가 좁고, 긴 거리용으론 살짝 아쉬움이 있다
롱런용으론 쿠션 여유 적음, 핏이 살짝 좁음, 더운 날 통기성 보통, 한겨...</t>
  </si>
  <si>
    <t>FIT_NARROW | detail:HEAT_BREATHABILITY</t>
  </si>
  <si>
    <t>국내 네이버 블로그 리뷰</t>
  </si>
  <si>
    <t>https://blog.naver.com/9to6log_/224030677999</t>
  </si>
  <si>
    <t>EV-0215</t>
  </si>
  <si>
    <t>맥시멀 쿠셔닝 필요
푸마는 발볼이 넓은 사람들에게는 접근하기 어렵다
중족부쪽 아치간섭이 느껴졌고, 초반에는 물집도 양쪽에 심하게 잡혔다</t>
  </si>
  <si>
    <t>OTHER | detail:BLISTER</t>
  </si>
  <si>
    <t>https://blog.naver.com/hyun28976/224012281046</t>
  </si>
  <si>
    <t>EV-0216</t>
  </si>
  <si>
    <t>이상하게 다소 떨어지는 마감 혹은 헛점들
신발 앞코가 울어있음 마감 문제로 보임, 신발 혀를 잡아주는 내부 끈이 굉장히 얇고 허술하게 마감...</t>
  </si>
  <si>
    <t>https://blog.naver.com/sjejfdlskek/224100407572</t>
  </si>
  <si>
    <t>EV-0217</t>
  </si>
  <si>
    <t>살짝 단점은 과회내 분들은 너무 자주 신으면 안정성이 떨어진다</t>
  </si>
  <si>
    <t>국내 네이버 카페 실사용·댓글</t>
  </si>
  <si>
    <t>https://cafe.naver.com/casuallydressed/796862?art=ZXh0ZXJuYWwtc2Vydmlj</t>
  </si>
  <si>
    <t>EV-0218</t>
  </si>
  <si>
    <t>댓글 1. 매그맥스2 너무 기대하고 기다렸는데..
발볼이 더 좁아진거 같네요
댓글 2. 푸마 신발은 평발들에겐 중족부 압박이 심해서 심기 ...</t>
  </si>
  <si>
    <t>FIT_NARROW</t>
  </si>
  <si>
    <t>https://www.youtube.com/watch?v=0rq5bqL0RSM</t>
  </si>
  <si>
    <t>EV-0219</t>
  </si>
  <si>
    <t>맥스 쿠션화 특유의 어쩔수 없는 무게감(경량성을 추구한다면 불호)
속도를 빠르게 올리는 인터벌이나 기록 단축용 훈련에는 신발이 무겁게 느껴...</t>
  </si>
  <si>
    <t>HEAVY</t>
  </si>
  <si>
    <t>https://blog.naver.com/cm_1102/224314697037</t>
  </si>
  <si>
    <t>EV-0220</t>
  </si>
  <si>
    <t>속도 훈련에는 다소 무거운 편
스택이 높아 처음에는 낯설수도 있다.
디자인 호불호 및 가격</t>
  </si>
  <si>
    <t>https://blog.naver.com/junddang324/224090899639</t>
  </si>
  <si>
    <t>EV-0221</t>
  </si>
  <si>
    <t>실내 주행 (트레드밀): 트레드밀에서의 주행은 기대 이하였다. 맥스 쿠션화 특유의 높은 굽과 무게감이 트레드밀 위에서는 오히려 단점으로 작...</t>
  </si>
  <si>
    <t>https://blog.naver.com/onesonbike/224314108419</t>
  </si>
  <si>
    <t>EV-0222</t>
  </si>
  <si>
    <t>댓글1. 저도 시착해봤는데 패딩이 높아서 복숭아뼈 간섭 있는 것은 사실입니다
댓글2. 카야노31과 아드레날린gts에 비해 아치 지지가 약하고 어퍼가 부드러워서 매우 편하기도 한데 그만큼 잡아주는 느낌은 없습니다. 안정화와 쿠션화 그 사이 어딘가있는거 같습니다. 저는 아치깔창 깔고 쓰는데 이럴거면 그냥 대놓고 쿠션화 살걸 그랬다는 생각이 들어요
댓글3. 어제 매장 가서 시착해봤는데 발등이 많이 끼더라구요~~ 제가 발등이 높은 편이라서 확실히 압박 되더라구요~~ 반업해서 와이드 모델 신어봐도 발등이 끼는건 어떻게 할 수가 없더라구요
댓글4. 복숭아뼈 때리는 부분은 어떻게 극복해야할까요? ㅠ
저도 달려보니 초반에는 괜찮은데 5-10키로 이상 넘어가니 복숭아뼈 아픕니다</t>
  </si>
  <si>
    <t>https://www.youtube.com/watch?v=CmUteXAi8a4</t>
  </si>
  <si>
    <t>EV-0223</t>
  </si>
  <si>
    <t>아쉬운 착화감
옥의 티가 쉴 때와 걸을 때, 힐컵 부분에 지지력을 높이기 위해 힐패딩을 다소 과하게 부착함, 이것이 다소 과하게 잡아주어서 발목 뒷부분을 간섭하는 느낌, 이로 인하여 발목 뒤 아킬레스건 부위와 양옆의 복사뼈 아랫부분이 신경쓰인다는 후기들이 있으면서 필자도 신었을 때 중점적으로 느낀 단점. 걷는 도중에는 뒷축 부분이 걸리적거리는 느낌이 굉장히 들기는 했다. 또한, 엄지발톱이 어퍼와 간섭이 생겼다. 평소에는 조금 눌린정도로 아무느낌 없겠지만 장거리(20km) 러닝시에는 엄지발톱이 부하를 지속적으로 줄 것이다.
아쉬운 마감
안정화
오래 조깅하는 용도로 쓰기에는 딱딱한 편
필자는 왼쪽발은 중립에 가깝고 오른발은 내전이 약간 있는데도 독특하게 내전이 있는 오른발이 포에버런 2를 신었을 때의 발목과 정강이 뒤, 그리고 무릎에서 약간의 부담과 통증이 생김 반면, 중립의 왼쪽의 경우 족저근막에 통증이 미세하게 일어남.
또한 장거리 달리기용으로는 적합하지 않다. 10km를 뛰어보고 난 소감은 아스팔트에서 반발력과 쿠션감이 아쉽고 자신의 발로 오롯이 주행하는 느낌을 받음
통기성
그러나 포에버런은 너무 치명적인 단점이 있었는데,</t>
  </si>
  <si>
    <t>AGGRESSIVE_RIDE | detail:HEAT_BREATHABILITY</t>
  </si>
  <si>
    <t>https://blog.naver.com/sjejfdlskek/224138067181</t>
  </si>
  <si>
    <t>EV-0224</t>
  </si>
  <si>
    <t>엘리트 시리즈와 비교하면 폭발적인 스피드보다 안정적인 훈련에 초점이 맞춰져 있어 기록 경신만을 목적으로 하는 러너에게는 공격성이 부족하게 느껴질 수 있음
기존의 높은 드롭 차이에 익숙했던 러너라면 주행감에서 미세한 이질감을 느낄 가능성이 있음
아울러 발볼이 넓게 나오긴 했지만 중족부와 뒤꿈치 쪽은 여전히 타이트하게 잡아주는 편이라</t>
  </si>
  <si>
    <t>https://blog.naver.com/erbsli/224216519223</t>
  </si>
  <si>
    <t>EV-0225</t>
  </si>
  <si>
    <t>로드 러닝 전용으로는 애매, 순수러닝용이라면 디비에이트 나이트로4 엘리트가 나음
어중간하다고 느낄 수 있는 쿠션감, 적당한 중간 맛이 매력 없이 다가갈수도
통기성 및 설포의 아쉬움, 핏을 잡기 위해 일체형처럼 고정된 설포 구조가 약간 답답할수도</t>
  </si>
  <si>
    <t>OTHER | detail:HEAT_BREATHABILITY</t>
  </si>
  <si>
    <t>https://blog.naver.com/minsulog/224292401578</t>
  </si>
  <si>
    <t>EV-0226</t>
  </si>
  <si>
    <t>착화감이 편하지 않고 느린 페이스에서는 불안정하며 종아리에 부담을 줄 수 있다.</t>
  </si>
  <si>
    <t>AGGRESSIVE_RIDE;STABILITY_LOW</t>
  </si>
  <si>
    <t>국내·gall.dcinside.com 리뷰</t>
  </si>
  <si>
    <t>https://gall.dcinside.com/mgallery/board/view/?id=running&amp;no=640418</t>
  </si>
  <si>
    <t>EV-0227</t>
  </si>
  <si>
    <t>극도로 불안정함
아웃솔 어퍼 내구성 매우 낮음
힐 스트라이커에게 부적합
일상 훈련용으로는 절대 비추천
최고 속도 최저 안정성</t>
  </si>
  <si>
    <t>STABILITY_LOW | detail:DURABILITY</t>
  </si>
  <si>
    <t>https://blog.naver.com/9to6log_/224077070424</t>
  </si>
  <si>
    <t>EV-0228</t>
  </si>
  <si>
    <t>구조적 지지 약함
초경량 어퍼라 급코너 돌 때 발이 살짝 흔들릴 수 있다
장거리 안정성은 확인 필요
풀코스 3시간 30분 이상 달릴 경우 하체 피로 누적 체크 필요</t>
  </si>
  <si>
    <t>https://blog.naver.com/realpsg/223848231900</t>
  </si>
  <si>
    <t>EV-0229</t>
  </si>
  <si>
    <t>BRAND</t>
  </si>
  <si>
    <t>온러닝 클라우드 소음 관련 경험담
클라우드몬스터와 몬스터2: 돌아가면서 신기는 했지만 다행히도(?) 6개월 사용한 후에도 아직까지 클라우드쪽에서 발생하는 소음은 없습니다.
클라우드러너2: 3개월 동안 별 이상 없음.
클라우드몬스터 하이퍼: 1개월만에 신발 앞쪽 클라우드쪽에서 쩍쩍 &amp; 삑삑 거리는 미친 수준의 소음이 발생해서 바로 환불.
클라우드이클립스: 3개월 정도 사용 후 신반 뒤쪽 클라우드에서 작은 삐걱거리는 소음이 올라옴. 신경안쓰면 잘 들리지는 않음
서퍼 맥스: 고질병이 좀 개선되었을 것이라 기대했는데 딱 1일만에 앞쪽 클라우드에서 삐걱거리는 소음이 들림.
조용한 곳에서만 일단 들리기는 하지만 유독 클라우드텍 패이스 기술이 들어간 러닝화가 도드라지는 것 같습니다.</t>
  </si>
  <si>
    <t>https://cafe.naver.com/runningmaniac/298314?art=ZXh0ZXJuYWwtc2VydmljZS1uYXZlci1zZWFyY2gtY2FmZS1wcg.eyJhbGciOiJIUzI1NiIsInR5cCI6IkpXVCJ9.eyJjYWZlVHlwZSI6IkNBRkVfVVJMIiwiY2FmZVVybCI6InJ1bm5pbmdtYW5pYWMiLCJhcnRpY2xlSWQiOjI5ODMxNCwiaXNzdWVkQXQiOjE3ODQ2ODAyNDA4ODR9.Eu2p6NoRE0Qi8qILAcc_G4SmNWaa77Rrou2rerQX3Pk</t>
  </si>
  <si>
    <t>EV-0230</t>
  </si>
  <si>
    <t>단점이 내구성이다 폼이 무너짐, 다소 무너짐</t>
  </si>
  <si>
    <t>OTHER | detail:DURABILITY</t>
  </si>
  <si>
    <t>https://www.youtube.com/watch?v=bIBCuA4g8RA</t>
  </si>
  <si>
    <t>EV-0231</t>
  </si>
  <si>
    <t>쿠션이 단단한 편이라 체중이 있는 러너의 장거리 러닝에서는 충격 흡수력이 부족할 수 있음</t>
  </si>
  <si>
    <t>https://blog.naver.com/omerunnig08/224005847144</t>
  </si>
  <si>
    <t>EV-0232</t>
  </si>
  <si>
    <t>가성비를 따지는 사람에겐 별로다</t>
  </si>
  <si>
    <t>https://blog.naver.com/run_through_the_star/224088170337</t>
  </si>
  <si>
    <t>EV-0233</t>
  </si>
  <si>
    <t>동급 러닝화 대비 무게가 조금 나가고 통기성이 더 떨어진다.</t>
  </si>
  <si>
    <t>https://blog.naver.com/ooyou__/224290382853</t>
  </si>
  <si>
    <t>EV-0234</t>
  </si>
  <si>
    <t>너무 딱딱해, 하실거고 뛰면달라진다고 뛰어보시고나면 그냥 그런데 하실겁니다.
예 정확하게 맞으십니다. 저도 똑같이 그렇게생각해요.</t>
  </si>
  <si>
    <t>https://cafe.naver.com/runningmaniac/413806?art=ZXh0ZXJuYWwtc2VydmljZS1uYXZlci1haXRhYg.eyJhbGciOiJIUzI1NiIsInR5cCI6IkpXVCJ9.eyJjYWZlVXJsIjoicnVubmluZ21hbmlhYyIsImFydGljbGVJZCI6NDEzODA2LCJjYWZlVHlwZSI6IkNBRkVfVVJMIiwiaXNzdWVkQXQiOjE3ODQ3MDgwODAxNDF9.U_yvzdgwrSa0gn96v4iOnejl_2SfYDuc1zAjcG1s7mU</t>
  </si>
  <si>
    <t>EV-0235</t>
  </si>
  <si>
    <t>통풍성이 낮아 한여름에는 덥고 겨울철이나 추운날씨에는 유리하다
발볼이 넓으면 중족부에 압박을 느낄 수 있다
낮은 반발력으로 주행감이 아쉬울 수 있다
가벼운 편은 아니다</t>
  </si>
  <si>
    <t>https://blog.naver.com/9to6log_/224196416940</t>
  </si>
  <si>
    <t>EV-0236</t>
  </si>
  <si>
    <t>데일리 조깅용이라기보다는 인터벌이나 템포 훈련용에 가깝다는 느낌이 강했다.
쿠션감은 솔직히 많이 딱딱하다.
러닝 중반 넘어가니까 발바닥이 좀 아프다는 느낌도 있었다</t>
  </si>
  <si>
    <t>https://blog.naver.com/omerunnig08/224126661767</t>
  </si>
  <si>
    <t>EV-0237</t>
  </si>
  <si>
    <t>끈을 조절할 수 있는게 아니고 탄성이 있는 것도 아니라서 특히 발볼이 있다면 사이즈가 더 작게 느껴지고 타이트하게 느껴지는 것 같다</t>
  </si>
  <si>
    <t>https://blog.naver.com/seujin9161/223723736576</t>
  </si>
  <si>
    <t>EV-0238</t>
  </si>
  <si>
    <t>힐착지 주자에게는 비추천
안정성 부족
토박스 내구성 약함
힐 패딩 없음</t>
  </si>
  <si>
    <t>https://blog.naver.com/9to6log_/223981299193</t>
  </si>
  <si>
    <t>EV-0239</t>
  </si>
  <si>
    <t>O자 가운데에 발볼이 들어가면서 뛸 때마다 발볼 주위를 눌리는게 거슬리는 단점
U자 형태의 인솔에 끝부분은 달리면서 갑피가 누르면서 끝부분이 발바닥을 자극하는게 아쉬운 점
신발끈을 확실히 묶지 않으면 힐슬립 날 수 있는 구조이다
힐칼라도 피부에 직접 닿으면 불편할 수 있는 빳빳한 원단으로 이루어져 있다
혀부분을 잡고 있는 구조라 쉽게 착용하기 어려운 부분은 있다.</t>
  </si>
  <si>
    <t>OTHER | detail:HEEL_SLIP</t>
  </si>
  <si>
    <t>https://blog.naver.com/ahg0717/223611422091</t>
  </si>
  <si>
    <t>EV-0240</t>
  </si>
  <si>
    <t>비닐 재질의 어퍼의 특성상 땀이 찰 경우 열기 배출이 아쉽다는 평
느린페이스에서는 신발이 먼가 어색할 느낌이 들 정도로 이질감이 느껴짐</t>
  </si>
  <si>
    <t>https://blog.naver.com/genzer/223777580526</t>
  </si>
  <si>
    <t>EV-0241</t>
  </si>
  <si>
    <t>단점은 긴 끈. 풀리면 위험할 수 있어 묶는 방법을 꼭 신경 써야 해요</t>
  </si>
  <si>
    <t>https://blog.naver.com/gunbread1995/224172982786</t>
  </si>
  <si>
    <t>EV-0242</t>
  </si>
  <si>
    <t>슈레이스가 너무 길어 조절이 불편
어퍼가 뻣뻣하고 초기 착화감이 다소 거칠 수 있음
케이던스 주자에게는 적응이 어려울 수 있는 쿠션/반발감
오프셋 4mm로 인한 앞쪽 착지 유도 → 러너 성향에 따라 호불호</t>
  </si>
  <si>
    <t>https://blog.naver.com/omerunnig08/224016617230</t>
  </si>
  <si>
    <t>EV-0243</t>
  </si>
  <si>
    <t>장거리 레이스 후반부에 피로도가 쌓일 가능성
발볼이 좁은 디자인으로, 넓은 발을 가진 러너에게는 다소 타이트함</t>
  </si>
  <si>
    <t>https://blog.naver.com/sjsg0079/223800163041</t>
  </si>
  <si>
    <t>EV-0244</t>
  </si>
  <si>
    <t>소음
느린 페이스 한계 – 5~6분대 페이스에서는 매력이 줄어들고, 불안정성이 커짐, 뒤꿈치 착지 러너는 바운스 보도의 힘을 활용하기 어려움
내전 유발, 접지력, 발바닥 열감</t>
  </si>
  <si>
    <t>STABILITY_LOW | detail:HEAT_BREATHABILITY;WET_GRIP</t>
  </si>
  <si>
    <t>https://blog.naver.com/whenyouwalk/224024055880</t>
  </si>
  <si>
    <t>EV-0245</t>
  </si>
  <si>
    <t>반발력이 강하지 않다
빠른 인터벌 훈련에서는 다소 둔하게 느껴질 수 있다.</t>
  </si>
  <si>
    <t>https://blog.naver.com/zexter0680/224317424588</t>
  </si>
  <si>
    <t>EV-0246</t>
  </si>
  <si>
    <t>쿠션이나 여러 부분들은 적당한데 오른쪽 복숭아뼈 아래
간섭이 있는지 이물감이나 통증이 생기네요,
그동안 신던 신발중에 첨 있는 일이라 좀 당혹스럽습니다
손으로 해당부위로 제끼거나 눌러야 한동안 통증이 가라앉네요.</t>
  </si>
  <si>
    <t>국내 공식몰 구매자 리뷰</t>
  </si>
  <si>
    <t>https://brooksrunning.co.kr/product/%EB%82%A8%EC%84%B1-%EA%B3%A0%EC%8A%A4%ED%8A%B8-18-%EB%B8%94%EB%9E%99-wide/858/?crema-product-reviews-1-sort=30&amp;crema-product-reviews-1-page=1&amp;crema-product-reviews-1-scores=1%2C3%2C4</t>
  </si>
  <si>
    <t>EV-0247</t>
  </si>
  <si>
    <t>브룩스 순정 인솔은 잘 꺼지고 좀 미끄러운 편이라 생각합니다
여름엔 좀 많이 더울듯해요</t>
  </si>
  <si>
    <t>OTHER | detail:WET_GRIP</t>
  </si>
  <si>
    <t>https://www.youtube.com/watch?v=a1P4MKMV0Jk</t>
  </si>
  <si>
    <t>EV-0248</t>
  </si>
  <si>
    <t>다만 어퍼쪽 통기성이 떨어지고  봉숭아 뼈 간섭으로 살짝 신경쓰이</t>
  </si>
  <si>
    <t>https://cafe.naver.com/runningmaniac/448587?art=ZXh0ZXJuYWwtc2VydmljZS1uYXZlci1zZWFyY2gtY2FmZS1wcg.eyJhbGciOiJIUzI1NiIsInR5cCI6IkpXVCJ9.eyJjYWZlVHlwZSI6IkNBRkVfVVJMIiwiY2FmZVVybCI6InJ1bm5pbmdtYW5pYWMiLCJhcnRpY2xlSWQiOjQ0ODU4NywiaXNzdWVkQXQiOjE3ODQ3OTExNDY1ODR9.FpRNpXmrsMVbdeLZv9Z-qHh2m-Tj7Bb8NqCqNi0WCRw</t>
  </si>
  <si>
    <t>EV-0249</t>
  </si>
  <si>
    <t>미드솔이 살짝 높고 한 것 때문인지는 몰라도 허리가 아플때가 있습니다
뭔가 이전버젼 medium보다 발볼이 작은 느낌입니다. 딱 아드레날린 느낌의 발볼 입니다. 쿠션은 확실이 더 짱짱한 느낌입니다.
엄지발톱도 약간 걸리고 발볼도 조금좁드라고요.</t>
  </si>
  <si>
    <t>https://brooksrunning.co.kr/product/detail.html?product_no=807&amp;crema-product-reviews-1-sort=30&amp;crema-product-reviews-1-page=1&amp;crema-product-reviews-1-scores=3%2C4%2C2%2C1</t>
  </si>
  <si>
    <t>EV-0250</t>
  </si>
  <si>
    <t>gts24대비 약간 무겁다
반발력이 줄어든 느낌이라 호불호가 갈릴 수 있다.</t>
  </si>
  <si>
    <t>https://blog.naver.com/bydaddy/224109529610</t>
  </si>
  <si>
    <t>EV-0251</t>
  </si>
  <si>
    <t>과도하게 느껴질 수 있는 범퍼의 간섭
발목이 심하게 꺽이지 않는 중립 러너가 신을 경우, 발바닥 아치 쪽을 가이드레일이 찌르거나 불필요하게 간섭하여 오히려 물집이 잡히거나 이물감을 느낄 수 있다.
여름철 장거리 시 덥게 느껴지는 통기성
땀배출이 원활하지 않아 열감이 발바닥에 갇히는 아쉬운점이 있다.</t>
  </si>
  <si>
    <t>OTHER | detail:BLISTER;HEAT_BREATHABILITY</t>
  </si>
  <si>
    <t>https://blog.naver.com/cm_1102/224343437347</t>
  </si>
  <si>
    <t>EV-0252</t>
  </si>
  <si>
    <t>젖은 노면에서 미끌림이 발생</t>
  </si>
  <si>
    <t>https://blog.naver.com/ninedu/224192198320</t>
  </si>
  <si>
    <t>EV-0253</t>
  </si>
  <si>
    <t>첫번째로 신어보는데 뒤가 접힙니다. 불편합니다.
24에 비해서 외형이 크게 달라진 걸 보니, 뒤에 고리가 생겼군요.
아마 뒷부분 내구성을 조금 약화시키고 고리를 만든 것 같은데 아주 맘에 안 듭니다.
근무 할때 편하게 신으려구 구매했습니다 발편하고 좋은데 구매하고 신은지 두번 만에 앞쪽이 찢어졌어요.. 런닝이나 과격한 움직임이 있는것도 아닌데 원래 잘찢어지는건가요..
걷기시 쿠셔닝이 너무 많아 허리에 살짝 무리가</t>
  </si>
  <si>
    <t>https://brooksrunning.co.kr/product/%EB%82%A8%EC%84%B1-%EC%95%84%EB%93%9C%EB%A0%88%EB%82%A0%EB%A6%B0gts-25%EB%B8%94%EB%9E%99super-wide/672/?crema-product-reviews-1-sort=30&amp;crema-product-reviews-1-page=1&amp;crema-product-reviews-1-scores=1%2C2%2C3</t>
  </si>
  <si>
    <t>EV-0254</t>
  </si>
  <si>
    <t>겨울철에 미드솔 너무 딱딱해짐.
갑피 조금 두꺼워서 봄 가을용 맞다고 봄. 지금 덥고 열감 좀 있긴 함
마지막 끈 구멍 부분이 젤리 같은 재질인데, 겨울에는 딱딱해져서 아주 간혹 발목을 치는 경우도 있고 신발 끈길이 조금 짧음.
혀 부분 좌우로 잡는게 없어서 아쉽, 미드솔 뒷부분 바깥쪽 인위적으로 선을 넣은 설계가 조금 아쉽긴함. 조금 다듬었으면
스트로벨보드 조금 아쉽고 특정 발볼 사이즈의 불량률이 살짝 높아진 것 같음.</t>
  </si>
  <si>
    <t>OTHER | detail:DURABILITY;HEAT_BREATHABILITY</t>
  </si>
  <si>
    <t>https://www.youtube.com/watch?v=oKqeodP6p6Y</t>
  </si>
  <si>
    <t>EV-0255</t>
  </si>
  <si>
    <t>무겁고 페이스 전환이 더딤
에너지 리턴이 매우 낮음
텅 비부착형
겨울엔 더 단단해짐</t>
  </si>
  <si>
    <t>https://blog.naver.com/9to6log_/224077061420</t>
  </si>
  <si>
    <t>EV-0256</t>
  </si>
  <si>
    <t>뒷부분은 딱딱한 느낌인데 앞부분이 폭신해서 러닝하는데 적응못하는중입니다.
무겁다 혀도 두툼하고 모든게 두툼한거 같다.
디자인이 너무 구리다</t>
  </si>
  <si>
    <t>https://cafe.naver.com/runningmaniac/441191?art=ZXh0ZXJuYWwtc2VydmljZS1uYXZlci1zZWFyY2gtY2FmZS1wcg.eyJhbGciOiJIUzI1NiIsInR5cCI6IkpXVCJ9.eyJjYWZlVHlwZSI6IkNBRkVfVVJMIiwiY2FmZVVybCI6InJ1bm5pbmdtYW5pYWMiLCJhcnRpY2xlSWQiOjQ0MTE5MSwiaXNzdWVkQXQiOjE3ODQ4NzEwMzUwMjJ9.RNeB45TzxLCgUu9hSqfOagv1aEOMnBAKvz44Ck3WG7A</t>
  </si>
  <si>
    <t>EV-0257</t>
  </si>
  <si>
    <t>안정감은 살짝 떨어지는 듯..
다만, 힐컵 뒤쪽이 왜이리 느슨한지 모르겠네요.. 달릴때는 거슬리지않는 정도인데..뛰던 지형이 거의 평지라서 그렇지 업힐이 있는 지형이면 벗겨질정도로 느슨합니다</t>
  </si>
  <si>
    <t>https://www.youtube.com/watch?v=V3oTOUapA-g</t>
  </si>
  <si>
    <t>EV-0258</t>
  </si>
  <si>
    <t>안정성이 낮음
아웃솔 내구성이 약함
앞쪽 완충력은 마라톤용으로는 부족할 수 있음
텅 패딩이 적어 압박에 민감한 사람은 주의</t>
  </si>
  <si>
    <t>FIT_NARROW;STABILITY_LOW | detail:DURABILITY</t>
  </si>
  <si>
    <t>https://blog.naver.com/9to6log_/224077066209</t>
  </si>
  <si>
    <t>EV-0259</t>
  </si>
  <si>
    <t>발목을 감싸는 힐컵 뒤쪽.. 뒷꿈치를 감싸는 힐카운터가 오르막길을 걸어올라가다가 벗겨질정도로 느슨하고 헐렁함
두번째는 내 발볼이 그다지 넓은편이 아님에도 발볼 압박이 있음</t>
  </si>
  <si>
    <t>FIT_NARROW | detail:HEEL_SLIP</t>
  </si>
  <si>
    <t>https://blog.naver.com/coadel/223983374834</t>
  </si>
  <si>
    <t>EV-0260</t>
  </si>
  <si>
    <t>상대적으로 낮은 반발력: 나이키 알파플라이 3 등과 비교했을 때, 튀어 나가는 '탱탱함'은 다소 얌전하게 느껴질 수 있음.
낮은 힐컵: 뒤꿈치 부분이 다른 브랜드보다 낮게 설계되어 있어, 사람에 따라 발목을 잡아주는 느낌이 부족하다고 느낄 수 있음. (러너스 루프 매듭 권장)</t>
  </si>
  <si>
    <t>STABILITY_LOW</t>
  </si>
  <si>
    <t>https://blog.naver.com/colif/224173938183</t>
  </si>
  <si>
    <t>EV-0261</t>
  </si>
  <si>
    <t>앞발이 얇고 단단하게 느껴지며, 더운 지역에서는 열감보다 무게감과 빠른 페이스에서의 아쉬움이 더 큰 문제로 정리됨.</t>
  </si>
  <si>
    <t>HEAVY | detail:HEAT_BREATHABILITY</t>
  </si>
  <si>
    <t>RunRepeat 실주행·전문 리뷰</t>
  </si>
  <si>
    <t>https://runrepeat.com/nike-pegasus-42</t>
  </si>
  <si>
    <t>OVERSEAS_REVIEW</t>
  </si>
  <si>
    <t>EV-0262</t>
  </si>
  <si>
    <t>토박스가 얕고 길이가 약간 짧게 느껴질 수 있음.</t>
  </si>
  <si>
    <t>RunToTheFinish 실주행·전문 리뷰</t>
  </si>
  <si>
    <t>https://runtothefinish.com/nike-pegasus-42-review/</t>
  </si>
  <si>
    <t>EV-0263</t>
  </si>
  <si>
    <t>스택 높이에 비해 신발이 꽤 무겁다는 평가.</t>
  </si>
  <si>
    <t>Runner's World 실주행·전문 리뷰</t>
  </si>
  <si>
    <t>https://www.runnersworld.com/gear/a70974311/nike-pegasus-42-review/</t>
  </si>
  <si>
    <t>EV-0264</t>
  </si>
  <si>
    <t>라이벌 대비 완성도가 아쉽고, 비교적 낮은 스택에 비해 무거우며 빠른 주행에는 적합하지 않다는 평가.</t>
  </si>
  <si>
    <t>Tom's Guide 실주행·전문 리뷰</t>
  </si>
  <si>
    <t>https://www.tomsguide.com/wellness/running/nike-pegasus-42-review</t>
  </si>
  <si>
    <t>EV-0265</t>
  </si>
  <si>
    <t>갑피가 푹신하고 따뜻해 서늘한 날에는 좋지만, 플로리다의 습한 환경에서는 여름철 지나치게 더울 수 있음.</t>
  </si>
  <si>
    <t>Florida 환경·사용 맥락 / Alastair Running</t>
  </si>
  <si>
    <t>https://www.alastairrunning.com/nike-vomero-plus-vs-vomero-18/</t>
  </si>
  <si>
    <t>EV-0266</t>
  </si>
  <si>
    <t>Southwest Florida의 90°F 이상·습도 80% 환경에서 쿠션은 좋지만 통기성이 아쉽고 발이 매우 뜨거웠으며 혀 패딩도 과하다는 후기.</t>
  </si>
  <si>
    <t>Southwest Florida 실사용 / Reddit</t>
  </si>
  <si>
    <t>https://www.reddit.com/r/RunningShoeGeeks/comments/1keprft/vomero_18_highly_impressed/</t>
  </si>
  <si>
    <t>EV-0267</t>
  </si>
  <si>
    <t>혹독한 겨울에는 갑피가 안정적이었으나, 따뜻한 날씨에서의 착용감은 충분히 평가하지 못했다는 사용자 의견.</t>
  </si>
  <si>
    <t>Reddit 실사용 후기</t>
  </si>
  <si>
    <t>https://www.reddit.com/r/RunningShoeGeeks/comments/1r1o54a/nike_vomero_18_review_after_162_km_hm//?tl=ko</t>
  </si>
  <si>
    <t>EV-0268</t>
  </si>
  <si>
    <t>Northeast Florida 위치의 리뷰성 게시글에서 더운 여름날 발이 조금 따뜻해졌다는 언급이 있음.</t>
  </si>
  <si>
    <t>Northeast Florida 리뷰성 게시물 / Instagram</t>
  </si>
  <si>
    <t>https://www.instagram.com/reel/DVQ_AQSkRkS/?hl=en</t>
  </si>
  <si>
    <t>EV-0269</t>
  </si>
  <si>
    <t>Big Peach Running Co.에서 구매한 사용자가 약 90마일 만에 아웃솔이 심하게 닳았다고 작성함.</t>
  </si>
  <si>
    <t>미국 남동부 유사환경(Georgia) / Reddit</t>
  </si>
  <si>
    <t>https://www.reddit.com/r/RunningShoeGeeks/comments/1k3bque/nike_structure_26/</t>
  </si>
  <si>
    <t>EV-0270</t>
  </si>
  <si>
    <t>Structure 25보다 반응성과 접지가 떨어져 실망했고 반품할 것 같다는 의견.</t>
  </si>
  <si>
    <t>https://www.reddit.com/r/RunningShoeGeeks/comments/1ksrshm/nike_structure_26_news/</t>
  </si>
  <si>
    <t>EV-0271</t>
  </si>
  <si>
    <t>통기성이 제한적이고 앞발 착지 러너에게 최적이 아니며, 밑창 커버리지가 줄고 젖은 콘크리트 접지가 평균보다 낮다는 평가.</t>
  </si>
  <si>
    <t>EV-0272</t>
  </si>
  <si>
    <t>전족부·중족골 쪽에 가벼운 통증이 반복되어 플레이트나 앞발 부하가 원인일 가능성을 제기함.</t>
  </si>
  <si>
    <t>PLATE_STIFF | detail:FOREFOOT_PRESSURE</t>
  </si>
  <si>
    <t>https://www.reddit.com/r/AskRunningShoeGeeks/comments/1suhs4r/nike_zoom_fly_6_excellent_shoes_but_a_little_bit/</t>
  </si>
  <si>
    <t>EV-0273</t>
  </si>
  <si>
    <t>뜨거운 아스팔트에서 달릴 때 폼이 약해지는 느낌이 들었고, 400km 이후 반발감이 떨어지며 450km 이후 무릎 통증이 시작됐다는 후기.</t>
  </si>
  <si>
    <t>https://www.reddit.com/r/RunningShoeGeeks/comments/1jscwwi/zoom_fly_6_300km/</t>
  </si>
  <si>
    <t>EV-0274</t>
  </si>
  <si>
    <t>인에게는 생각보다 snug하고 장거리 러닝에서는 편하지 않았다고 언급됨.</t>
  </si>
  <si>
    <t>SNS 리뷰성 게시물</t>
  </si>
  <si>
    <t>https://www.instagram.com/p/C9u7Aecvn2A/</t>
  </si>
  <si>
    <t>EV-0275</t>
  </si>
  <si>
    <t>실제 착용 리뷰에서 장거리 후 발에 작은 쓸림 자국이 생겼고</t>
  </si>
  <si>
    <t>SELF 실주행·전문 리뷰</t>
  </si>
  <si>
    <t>https://www.self.com/review/adidas-ultraboost-5x</t>
  </si>
  <si>
    <t>EV-0276</t>
  </si>
  <si>
    <t>사용자 리뷰가 매우 많고 대체로 착화감은 좋지만, 일부는 최근 버전이 더 타이트하고 뻣뻣해졌다고 불만, 타이트함, 순환 압박감, 지지력 불만 사례</t>
  </si>
  <si>
    <t>Zappos 실제 구매자 리뷰</t>
  </si>
  <si>
    <t>https://www.zappos.com/product/review/9813800/page/155</t>
  </si>
  <si>
    <t>EV-0277</t>
  </si>
  <si>
    <t>80km 사용 리뷰에서는 패딩이 많아 내부 공간이 줄고, 미드풋 볼륨이 답답하게 느껴져 반 사이즈 업이 필요할 수 있다고 함. 또 17km 러닝 중 측면 강성이 발 움직임을 방해했고, 이후 발 회복이 필요할 정도였다고 적음.</t>
  </si>
  <si>
    <t>https://www.reddit.com/r/RunningShoeGeeks/comments/1syvl3e/review_adidas_supernova_rise_3_80_km/</t>
  </si>
  <si>
    <t>EV-0278</t>
  </si>
  <si>
    <t>30마일 사용 리뷰에서 “무난하지만 사랑할 정도는 아니다”는 평가가 있었고, 좁은 뒤꿈치/낮은 발등을 가진 작성자는 약간의 힐슬립을 겪었다고 함. 댓글에서는 갑피를 더 얇게 해서 통기성을 개선했으면 좋겠다는 의견도 있었음.</t>
  </si>
  <si>
    <t>FIT_NARROW | detail:HEAT_BREATHABILITY;HEEL_SLIP</t>
  </si>
  <si>
    <t>https://www.reddit.com/r/RunningShoeGeeks/comments/1tisdde/adidas_supernova_rise_3_30mile_review_comfortably/</t>
  </si>
  <si>
    <t>EV-0279</t>
  </si>
  <si>
    <t>100마일 리뷰에서 미드솔은 좋았지만, 갑피가 뻣뻣하고 플라스틱 같은 느낌이며 신축성이 없고 핏이 타이트하다고 함. 즉, 쿠션/반발감은 만족해도 갑피 착화감에서 구매 실패가 생길 수 있음.</t>
  </si>
  <si>
    <t>https://www.reddit.com/r/RunningShoeGeeks/comments/1ds30c6/adidas_adizero_sl2_100_miles_review/</t>
  </si>
  <si>
    <t>EV-0280</t>
  </si>
  <si>
    <t>10~12km 이후 바닥이 꺼지고 발 통증이 생겼다고 평가. 사이즈도 까다롭다고 함.</t>
  </si>
  <si>
    <t>https://www.reddit.com/r/RunningShoeGeeks/comments/1kn69ur/adidas_adizero_sl2_retirement_review/</t>
  </si>
  <si>
    <t>EV-0281</t>
  </si>
  <si>
    <t>344km 사용자는 전작보다 쿠션과 반응성이 좋아졌다고 평가. 다만 아웃솔 내구성과 끈 풀림이 단점.</t>
  </si>
  <si>
    <t>https://www.reddit.com/r/RunningShoeGeeks/comments/1kw2ctt/</t>
  </si>
  <si>
    <t>EV-0282</t>
  </si>
  <si>
    <t>한 사용자는 EVO SL을 Florida에 가져감 글에서는 발가락이 앞쪽 갑피를 200km쯤 뚫었다는 내구성 문제, 따뜻한 양말과 느슨한 끈 조합에서 물집이 생겼다는 경험이 나옴.</t>
  </si>
  <si>
    <t>OTHER | detail:BLISTER;DURABILITY</t>
  </si>
  <si>
    <t>Florida 환경·사용 맥락 / Reddit</t>
  </si>
  <si>
    <t>https://www.reddit.com/r/runningshoes/comments/1sw3wqy/200km_done_with_the_evo_sl_and_here_is_my_opinion/</t>
  </si>
  <si>
    <t>EV-0283</t>
  </si>
  <si>
    <t>SERIES</t>
  </si>
  <si>
    <t>날카로운 턴에서 안정성이 떨어지고, 카본 플레이트가 아킬레스에 부담을 늘리는 느낌이 있다는 단점이 나옴.</t>
  </si>
  <si>
    <t>AGGRESSIVE_RIDE;PLATE_STIFF</t>
  </si>
  <si>
    <t>https://www.reddit.com/r/RunningShoeGeeks/comments/1btnhwh/boston_12adios_pro_3_comparison/</t>
  </si>
  <si>
    <t>EV-0284</t>
  </si>
  <si>
    <t>넓은 발 사용자는 반 사이즈 업을 권장한다는 의견이 있었고, 다른 사용자는 발 바깥쪽 미드풋이 사이드월에 밀리는 느낌을 받았다고 함. 또 어떤 사용자는 발 문제는 없지만 양쪽 TFL/고관절 주변이 망가지는 느낌이라</t>
  </si>
  <si>
    <t>AGGRESSIVE_RIDE</t>
  </si>
  <si>
    <t>https://www.reddit.com/r/RunningShoeGeeks/comments/1jmjtm8/weekend_discussion_adidas_running_shoes/</t>
  </si>
  <si>
    <t>EV-0285</t>
  </si>
  <si>
    <t>단점으로 고성능 아디제로 계열보다 반발력/에너지 리턴이 부족하고 레이스용으로는 적합하지 않다고 정리함.</t>
  </si>
  <si>
    <t>Middle Age Marathoner 실주행·전문 리뷰</t>
  </si>
  <si>
    <t>https://middleagemarathoner.com/tag/adidas/</t>
  </si>
  <si>
    <t>EV-0286</t>
  </si>
  <si>
    <t>듀라모 스피드를 신고 불안정하게 느꼈고, 안쪽 중족부 쪽에 물집이 생겼다고 함.</t>
  </si>
  <si>
    <t>STABILITY_LOW | detail:BLISTER</t>
  </si>
  <si>
    <t>EV-0287</t>
  </si>
  <si>
    <t>v15가 v13 대비 크게 후퇴했다고 느꼈고, v13으로는 매일 5K를 쉽게 뛰었는데 v15는 1K도 힘들었다는 반응이 있음.
갑피는 통기성이 전혀 없는 두꺼운 "벨벳" 재질이야, 겨울에도 말이지. 핏도 14s보다 훨씬 좁아. 그리고, 밑창에 있는 새 재질은 그냥 바닥에 닿고 에너지 반환도 없어. 콘크리트 위에서 한 번 뛰었는데도 "벨벳" 재질이 어떻게든 먼지와 머리카락을 다 붙잡더라.</t>
  </si>
  <si>
    <t>https://www.reddit.com/r/RunningShoeGeeks/comments/1ql8dy3/new_balance_1080_v15_first_impressionsdemo_run//?tl=ko</t>
  </si>
  <si>
    <t>EV-0288</t>
  </si>
  <si>
    <t>공식/리테일 리뷰에서 “매우 불편했다”는 구매자 리뷰가 있고, 4E 와이드인데도 너무 좁다는 불만도 확인됨. 즉, 1080 v15는 편한 쿠션화 이미지와 달리 일부 사용자에게는 착화감 불편·와이드 사이즈 기대 불일치가 발생함.</t>
  </si>
  <si>
    <t>ShopMyExchange 실제 구매자 리뷰</t>
  </si>
  <si>
    <t>https://www.shopmyexchange.com/new-balance-women-s-1080v15-running-shoes/4755389?bvstate=pg%3A9%2Fct%3Ar</t>
  </si>
  <si>
    <t>EV-0289</t>
  </si>
  <si>
    <t>한 구매자는 다른 브랜드보다 훨씬 덜 편하고, 발 앞쪽으로 체중이 쏠리는 느낌이 있다고 작성함. 즉, 880 v15는 안정적 데일리화지만 사람에 따라 전족부 압박·체중 쏠림·착화감 불만이 생길 수 있음.</t>
  </si>
  <si>
    <t>FIT_NARROW | detail:FOREFOOT_PRESSURE</t>
  </si>
  <si>
    <t>Scheels 실제 구매자 리뷰</t>
  </si>
  <si>
    <t>https://www.scheels.com/p/womens-new-balance-fresh-foam-x-880v15-running-shoes/84881-W880A15/?srsltid=AfmBOoqO7hO95O8uDNU4CrdqNp_EZShjEhJLlXXuOw-KkGeaHV7fLTyf</t>
  </si>
  <si>
    <t>EV-0290</t>
  </si>
  <si>
    <t>1080과 880 모두 새끼발가락 쪽 토박스가 날카롭게 좁아져 불편하다고 작성함.</t>
  </si>
  <si>
    <t>https://www.zappos.com/p/mens-new-balance-fresh-foam-x-880-v15-garter-snake-castlerock-black/product/9982268/color/1108374</t>
  </si>
  <si>
    <t>EV-0291</t>
  </si>
  <si>
    <t>- 제 발에는 이 폼(쿠셔닝)이 전혀 편하지 않았습니다.
- 이 신발은 전혀 편하지 않아요. 이전 모델인 v14 Wide는 정말 잘 맞고 좋았는데, 이번 v15는 똑같이 Wide를 주문했는데도 발을 너무 조이고 물집까지 잡혔습니다.
- 이번 버전은 발볼이 너무 좁아져서 대단히 실망스럽습니다. 토박스(발가락 부분)와 발등 부분이 모두 좁아져서 신었을 때 너무 불편합니다.
- 신발의 안정감이 전혀 없고 발이 자꾸 기울어집니다.</t>
  </si>
  <si>
    <t>FIT_NARROW;STABILITY_LOW | detail:BLISTER;FOREFOOT_PRESSURE</t>
  </si>
  <si>
    <t>New Balance 공식 구매자 리뷰</t>
  </si>
  <si>
    <t>https://www.newbalance.com/pd/fresh-foam-x-860v15/M860V15_RU-FTW-802888.html</t>
  </si>
  <si>
    <t>EV-0292</t>
  </si>
  <si>
    <t>부상 후 안정화 필요로 구매한 사용자는 안정성은 좋지만, 발톱 압박·딸깍거리는 토박스·무게·충격 증가를 지적.</t>
  </si>
  <si>
    <t>https://www.reddit.com/r/runningshoes/comments/1u86le4</t>
  </si>
  <si>
    <t>EV-0293</t>
  </si>
  <si>
    <t>한 사용자는 v5가 너무 불안정해 반품했고, v4는 괜찮았지만 v5는 발목이 꺾일 것 같았다고 함.</t>
  </si>
  <si>
    <t>https://www.reddit.com/r/AskRunningShoeGeeks/comments/1ucehtb/hi_i_cant_find_into_of_nb_sc_elite_v5_about</t>
  </si>
  <si>
    <t>EV-0294</t>
  </si>
  <si>
    <t>v5의 어퍼가 v3/v4보다 통기성이 훨씬 떨어지고, NB 레이싱화 중 step-in comfort가 가장 약하다고 평가함.</t>
  </si>
  <si>
    <t>https://www.reddit.com/r/RunningShoeGeeks/comments/1sow5f9/new_balance_sc_elite_v5_100km_review/</t>
  </si>
  <si>
    <t>EV-0295</t>
  </si>
  <si>
    <t>Reddit r/Hoka에서 5km 러닝 후 발가락 쪽이 타이트했고 사이즈를 올렸음에도 발 모양과 맞지 않아 물집 문제가 있었다는 후기가 있음. 다른 사용자는 너무 좁고 힐락다운도 잘 안 됐다고 댓글을 남김.</t>
  </si>
  <si>
    <t>FIT_NARROW | detail:BLISTER;HEEL_SLIP</t>
  </si>
  <si>
    <t>https://www.reddit.com/r/Hoka/comments/1t5nu5a/clifton_10_blisters/</t>
  </si>
  <si>
    <t>EV-0296</t>
  </si>
  <si>
    <t>너무 좁고 엄지발가락 관절 쪽에 물집이 생긴다는 구매자 리뷰가 확인됨. “토박스가 너무 좁다”, “오른쪽 신발만 너무 좁다”처럼 핏/품질 편차 불만이 있음.</t>
  </si>
  <si>
    <t>FIT_NARROW | detail:BLISTER</t>
  </si>
  <si>
    <t>https://www.zappos.com/product/review/9984297/page/26</t>
  </si>
  <si>
    <t>EV-0297</t>
  </si>
  <si>
    <t>Disney World처럼 플로리다의 습한 환경에서 신발·양말 선택이 잘못되면 물집이 빠르게 생길 수 있다는 실제 경험</t>
  </si>
  <si>
    <t>Disney World·Orlando 사용 맥락 / NJ.com</t>
  </si>
  <si>
    <t>https://www.nj.com/shopping-deals/2025/09/these-are-the-only-shoes-i-wear-to-disney-world-and-i-can-do-25000-steps-without-getting-a-single-blister.html</t>
  </si>
  <si>
    <t>EV-0298</t>
  </si>
  <si>
    <t>어떤 사람은 교사 남편의 무릎·엉덩이 통증 완화에 좋다고 했지만, Bondi 팬 중에는 v9가 발 옆·앞쪽 통증을 유발했다는 불만도 있음.</t>
  </si>
  <si>
    <t>https://www.zappos.com/p/hoka-bondi-9-black-vermillion/product/9984272/color/333743</t>
  </si>
  <si>
    <t>EV-0299</t>
  </si>
  <si>
    <t>발목이 말릴 것 같은 느낌, 안정성 부족, 너무 좁아서 wide를 주문했다는 내용이 확인됨. 본디는 맥스쿠션화라 편할 것 같지만, 일부 사용자에게는 높은 쿠션감+안정성 부족 체감</t>
  </si>
  <si>
    <t>https://www.zappos.com/product/review/9984296/page/3</t>
  </si>
  <si>
    <t>EV-0300</t>
  </si>
  <si>
    <t>안정성은 확실하지만 미드솔이 둔하고, 좁은 핏과 거친 갑피 때문에 장거리 편안함은 아쉽다고 봄.</t>
  </si>
  <si>
    <t>OutdoorGearLab 실주행·전문 리뷰</t>
  </si>
  <si>
    <t>https://www.outdoorgearlab.com/reviews/shoes-and-boots/running-shoes-men/hoka-arahi-8</t>
  </si>
  <si>
    <t>EV-0301</t>
  </si>
  <si>
    <t>여러 번의 러닝이 모두 별로였고 다리가 아프며 너무 stiff하고 bounce가 없다고 느낀 사용자가 있음. 안정화가 필요한 사람에게도 착화감이 맞지 않을 수 있음.</t>
  </si>
  <si>
    <t>https://www.reddit.com/r/AskRunningShoeGeeks/comments/1q7k3rw/are_the_hoka_arahi_8s_wrong_for_me/</t>
  </si>
  <si>
    <t>EV-0302</t>
  </si>
  <si>
    <t>다른 사용자는 갑피·인솔이 불편하고 기대한 아치 지지가 없다고 느낌.</t>
  </si>
  <si>
    <t>https://www.reddit.com/r/XXRunning/comments/1lpi3re/hoka_arahi_8/</t>
  </si>
  <si>
    <t>EV-0303</t>
  </si>
  <si>
    <t>H-frame이 불안정하게 느껴지며 아치가 맞지 않는다는 구매자 리뷰</t>
  </si>
  <si>
    <t>https://www.zappos.com/product/review/10004295</t>
  </si>
  <si>
    <t>EV-0304</t>
  </si>
  <si>
    <t>토박스가 다른 신발보다 약간 좁다는 의견</t>
  </si>
  <si>
    <t>https://www.instagram.com/p/DZfSjvwoil1/</t>
  </si>
  <si>
    <t>EV-0305</t>
  </si>
  <si>
    <t>남성 사이즈로 신어도 너무 좁다는 댓글이 확인됨.</t>
  </si>
  <si>
    <t>https://www.reddit.com/r/runninglifestyle/comments/1rqix4n/is_it_time_to_upgrade_your_running_shoes_hoka/</t>
  </si>
  <si>
    <t>EV-0306</t>
  </si>
  <si>
    <t>발볼 앞쪽, 특히 ball of foot 주변이 좁게 느껴졌고 댓글에서도 외형이 좁아 보인다는 반응이 있음.</t>
  </si>
  <si>
    <t>https://www.reddit.com/r/RunningShoeGeeks/comments/1qsdxut/hoka_cielo_x1_30_first_run/</t>
  </si>
  <si>
    <t>EV-0307</t>
  </si>
  <si>
    <t>무거운 heel striker는 어려울 수 있다고 정리됨. 또 자세가 무너지면 불안정하게 느껴질 수 있다는 사용자 요약</t>
  </si>
  <si>
    <t>https://www.reddit.com/r/RunningShoeGeeks/comments/1rmpyhm/hoka_cielo_x1_30_review/</t>
  </si>
  <si>
    <t>EV-0308</t>
  </si>
  <si>
    <t>- 이 신발은 너무 아파요. 뒤꿈치가 딱딱한 부분이 뒤꿈치를 문지릅니다
- 이 신발을 신은 지 4-5개월밖에 안 됐는데 쓰레기예요. 발가락에 이미 작은 구멍이 생기기 시작해서 매일 신지 않아요!
결함 제품 "적합 문제"로 기각됨 신발은 거의 즉시(두 번 신은 후) 결함이 있었고</t>
  </si>
  <si>
    <t>ASICS 공식 구매자 리뷰</t>
  </si>
  <si>
    <t>https://www.asics.com/ca/en-ca/gel-kayano-32-1012b838-021?srsltid=AfmBOoqsSIte7RCvGQh4EuavPc4CgR7GV2r5MGlaNTTQXk8XuSWNN7pB</t>
  </si>
  <si>
    <t>EV-0309</t>
  </si>
  <si>
    <t>좀 길들여야 하나 싶었는데 걷고 뛰는 거 합쳐서 85마일 넘게 신었는데도 여전히 엄청 뻣뻣하고 발이랑 정강이가 미치도록 아파.</t>
  </si>
  <si>
    <t>https://www.reddit.com/r/AskRunningShoeGeeks/comments/1t3yij0/struggling_with_the_asics_gelkayano_32s//?tl=ko</t>
  </si>
  <si>
    <t>EV-0310</t>
  </si>
  <si>
    <t>장거리용 편한 신발치고 토박스가 너무 좁아 보인다는 사용자 반응.</t>
  </si>
  <si>
    <t>https://www.reddit.com/r/RunningShoeGeeks/comments/1nypmgv/gel_nimbus_28_new_images_and_sole_comparison_with/</t>
  </si>
  <si>
    <t>EV-0311</t>
  </si>
  <si>
    <t>뻣뻣한 루프가 발등 피부를 파고들어 달리거나 집에서 신을 때도 아팠고, 님버스 28을 신고 뛰면 발에 벽돌 두 개를 매단 것처럼 느껴졌다는 후기.</t>
  </si>
  <si>
    <t>https://www.reddit.com/r/runningshoes/comments/1shh93g/feedback_about_using_asics_nimbus_gel_27_and_28/?tl=ko</t>
  </si>
  <si>
    <t>EV-0312</t>
  </si>
  <si>
    <t>처음 몇 주 동안 새 신발 적응 기간이 있었어: 약간의 정강이 통증, 종아리 통증, 발목 통증.
개인적으로 혀 부분에 익숙해지는 데 시간이 좀 걸렸어
223km 뛰고 나니까, 아웃솔이 특히 가운데 부분이 닳기 시작했어
폼이 미드/포어풋 부분에서 좀 꺼졌어
튕기는 느낌보다는 좀 더 안정적인 느낌이 들고, 나쁜 건 아닌데, 편안함을 위해 '탄력'이 좀 줄었어.</t>
  </si>
  <si>
    <t>AGGRESSIVE_RIDE | detail:DURABILITY</t>
  </si>
  <si>
    <t>https://www.reddit.com/r/RunningShoeGeeks/comments/1irutk2/asics_novablast_5_138_mile_223km_review/?tl=ko</t>
  </si>
  <si>
    <t>EV-0313</t>
  </si>
  <si>
    <t>아까 말했듯이 접지력이 부족할 때가 있었어. 한 300km 정도, 어쩌면 그보다 적게 뛰었을 때 신발의 장점이 사라지기 시작했고, 400km 이후부터는 뛸 때마다 더 나빠졌어. 500km 이후에는 미드솔이 완전히 죽었고, 고무 퍽 위를 달리는 느낌이야. 전혀 반응이 없어. 튕김도 없고. 아무것도 없어.
나한테 다른 문제는 안정성이었어. 오른쪽 발이 약간 과내전되는데, 매일 사용하다 보니 지난 몇십 마일 동안 발목이 불편해</t>
  </si>
  <si>
    <t>https://www.reddit.com/r/RunningShoeGeeks/comments/1jibmqx/asics_novablast_5_after_500km_310miles/?tl=ko</t>
  </si>
  <si>
    <t>EV-0314</t>
  </si>
  <si>
    <t>첫 러닝에서 작은 물집, 착화감 문제, 소음, 발톱 통증이 있었다는 실사용 후기.</t>
  </si>
  <si>
    <t>https://www.reddit.com/r/RunningShoeGeeks/comments/1e9bbnx/honest_review_asics_superblast_2/?tl=ko</t>
  </si>
  <si>
    <t>EV-0315</t>
  </si>
  <si>
    <t>첫 장거리 후 새끼발가락에 심한 물집이 생겼고, 갑피 신축성이 낮아 넓은 발에서는 토박스가 좁게 느껴질 수 있다는 구매자 후기.</t>
  </si>
  <si>
    <t>https://www.zappos.com/product/review/9846965/page/8</t>
  </si>
  <si>
    <t>EV-0316</t>
  </si>
  <si>
    <t>길이는 맞지만 좁고, 반 사이즈를 올리면 너무 커지며 부드러운 폼과 큰 미드솔 구조 때문에 불안정하게 느껴졌다는 의견.</t>
  </si>
  <si>
    <t>https://www.reddit.com/r/AskRunningShoeGeeks/comments/1s80qyu/superblast_3_size/</t>
  </si>
  <si>
    <t>EV-0317</t>
  </si>
  <si>
    <t>매우 가벼운 레이스화라 거친 노면과 자갈에서 손상될 수 있어 도로 레이스 외 사용을 조심해야 한다는 반응.</t>
  </si>
  <si>
    <t>https://www.reddit.com/r/AskRunningShoeGeeks/comments/1o5ls1m/asics_metaspeed_sky_tokyo/</t>
  </si>
  <si>
    <t>EV-0318</t>
  </si>
  <si>
    <t>신발이 지나치게 공격적인지 고민했으며 트레드밀 테스트에서 약간 불안정하게 느꼈다는 사용자 의견.</t>
  </si>
  <si>
    <t>https://www.reddit.com/r/AskRunningShoeGeeks/comments/1qnc63p/is_asics_metaspeed_sky_tokyo_too_aggressive_for_me/</t>
  </si>
  <si>
    <t>EV-0319</t>
  </si>
  <si>
    <t>착용 후 발가락 물집이 생겼고, 갑피가 발을 충분히 잡지 못해 코너링 때 발이 플랫폼 밖으로 밀리는 느낌이 있었다는 후기.</t>
  </si>
  <si>
    <t>https://www.reddit.com/r/RunningShoeGeeks/comments/1mg9ykq/asics_metaspeed_edge_tokyo_a_joyride/</t>
  </si>
  <si>
    <t>EV-0320</t>
  </si>
  <si>
    <t>100마일 사용자는 처음에는 단단하고 속도 훈련용으로는 약간 무겁다고 평가함.</t>
  </si>
  <si>
    <t>https://www.reddit.com/r/RunningShoeGeeks/comments/1g4eqju/mini_review_of_the_asics_magic_speed_4_after_100/</t>
  </si>
  <si>
    <t>EV-0321</t>
  </si>
  <si>
    <t>구매자 리뷰에서 충격 흡수가 없고 러닝에 불편하며, 물집이 생기고 혀 품질도 좋지 않다는 불만이 확인됨.</t>
  </si>
  <si>
    <t>https://www.zappos.com/product/review/9982377</t>
  </si>
  <si>
    <t>EV-0322</t>
  </si>
  <si>
    <t>“표기보다 좁게 느꼈다”고 표시됨. 실제 구매자 중 한 명은 발목뼈 주변이 높아서 불편하다고 했고, 다른 구매자는 색상은 좋지만 폭이 너무 타이트했다고 작성함</t>
  </si>
  <si>
    <t>https://www.zappos.com/product/review/10028243/page/1/orderBy/best</t>
  </si>
  <si>
    <t>EV-0323</t>
  </si>
  <si>
    <t>앞쪽 폼이 처음부터 “죽은 느낌”이고, 3:55/km 같은 빠른 페이스에서는 벽돌처럼 느껴졌으며, 아킬레스와 전족부 통증</t>
  </si>
  <si>
    <t>AGGRESSIVE_RIDE | detail:FOREFOOT_PRESSURE</t>
  </si>
  <si>
    <t>https://www.reddit.com/r/AskRunningShoeGeeks/comments/1mkz46x/defective_saucony_triumph_23/</t>
  </si>
  <si>
    <t>EV-0324</t>
  </si>
  <si>
    <t>덩치 큰 디자인과 눈에 띄는 아치 서포트 때문에 코너링이 좀 힘들어
미드솔 길들이는 시간이 필요했어
더운 날씨에는 어퍼가 좀 답답할 수도 있어</t>
  </si>
  <si>
    <t>https://www.reddit.com/r/RunningShoeGeeks/comments/1qf05is/saucony_triumph_23_review_a_steal_when_it_goes_on/?tl=ko</t>
  </si>
  <si>
    <t>EV-0325</t>
  </si>
  <si>
    <t>집안에서 걸어 다니니 무지외반증 부위가 아팠습니다.
딱딱함: 밑창이 너무 딱딱해서 다시는 구매하지 않을 거예요, 너무 작다 등</t>
  </si>
  <si>
    <t>https://www.zappos.com/product/review/10001338/page/2/orderBy/best</t>
  </si>
  <si>
    <t>EV-0326</t>
  </si>
  <si>
    <t>축축하거나 젖은 콘크리트나 아스팔트 위를 걷거나 뛸 때 발이 너무 젖는 게 싫어. 신발이 발가락 쪽으로 물을 튀기는 것 같아</t>
  </si>
  <si>
    <t>https://www.reddit.com/r/RunningShoeGeeks/comments/1tyd6a2/weekend_discussion_saucony_running_shoes/?tl=ko</t>
  </si>
  <si>
    <t>EV-0327</t>
  </si>
  <si>
    <t>발이 약간 넓은 편인데도 신발 안에서 발이 미끄러지고, 토박스가 너무 커서 힐락이 안 됐으며, 반응성이 부족하고 “진지한 러닝화로 보긴 어렵다”</t>
  </si>
  <si>
    <t>FIT_WIDE | detail:WET_GRIP</t>
  </si>
  <si>
    <t>https://www.zappos.com/product/review/10028242/page/1/orderBy/best</t>
  </si>
  <si>
    <t>EV-0328</t>
  </si>
  <si>
    <t>뭔가 아쉬워. 처음부터 너무 단단한 느낌이고 탄력도 거의 없었어
Speed 5가 조금 더 단단하고 덜 snappy해서 재미가 약간 덜하다</t>
  </si>
  <si>
    <t>https://www.reddit.com/r/RunningShoeGeeks/comments/1lbqsuw/endorphin_speed_5_19km_first_run_its_back/?tl=ko</t>
  </si>
  <si>
    <t>EV-0329</t>
  </si>
  <si>
    <t>Saucony 공식 구매자 리뷰에서는 약 100마일 사용 후 밑창이 떨어지기 시작했다는 내구성 불만</t>
  </si>
  <si>
    <t>Saucony 공식 구매자 리뷰</t>
  </si>
  <si>
    <t>https://www.saucony.com/CA/en_CA/endorphin-speed-5/195021609117.html?reviews=true</t>
  </si>
  <si>
    <t>EV-0330</t>
  </si>
  <si>
    <t>한 사용자는 매장 착화에서 지면감이 크고 쿠션이 부족하게 느껴졌다고 함. 즉, 모든 사람에게 푹신한 레이스화는 아님.</t>
  </si>
  <si>
    <t>https://www.reddit.com/r/AskRunningShoeGeeks/comments/1rqt89d/has_anyone_tried_the_new_saucony_endorphin_pro_5/</t>
  </si>
  <si>
    <t>EV-0331</t>
  </si>
  <si>
    <t>왼쪽 발목 피부를 많이 자극했고 몇 번 신은 뒤 물집이 생겼다고 작성함. 8km만 뛰어도 물집 부위가 땀으로 젖어 테이프가 버티기 어려웠다</t>
  </si>
  <si>
    <t>https://www.reddit.com/r/Marathon_Training/comments/1t74bdu/advice_needed_blister_formation_on_achilles_heel/</t>
  </si>
  <si>
    <t>EV-0332</t>
  </si>
  <si>
    <t>토박스뿐 아니라 중족부가 조이는 사람은 일반 폭에서 핏 실패가 생길 수 있다는 초기 착화 사례</t>
  </si>
  <si>
    <t>https://www.reddit.com/r/AskRunningShoeGeeks/comments/1tf22j1/desperate_for_help_finding_walking_shoes_that/</t>
  </si>
  <si>
    <t>EV-0333</t>
  </si>
  <si>
    <t>좀 신다 보니까 앞코 부분이 좁아진다는 거? 얼마나 걸었는지는 모르겠는데, 발가락 끝부분에 멍이 들기 시작했어
템포화로 사용할 정도의 빠른 반응성은 아니며 여러 용도를 적당히 수행하는 신발이라고 평가</t>
  </si>
  <si>
    <t>https://www.reddit.com/r/RunningShoeGeeks/comments/1qsjbqr/mizuno_wave_rider_29_300km_review_jack_of_most/?tl=ko</t>
  </si>
  <si>
    <t>EV-0334</t>
  </si>
  <si>
    <t>두꺼워진 밑창을 마음에 들어 하지 않는다고 평가함</t>
  </si>
  <si>
    <t>Mizuno 공식 구매자 리뷰</t>
  </si>
  <si>
    <t>https://usa.mizuno.com/running-wave-inspire-22-womens</t>
  </si>
  <si>
    <t>EV-0335</t>
  </si>
  <si>
    <t>간헐적으로 뒤꿈치가 들리는 힐 슬립</t>
  </si>
  <si>
    <t>https://www.reddit.com/r/AskRunningShoeGeeks/comments/1qos19w/fast_supportstable_shoes/</t>
  </si>
  <si>
    <t>EV-0336</t>
  </si>
  <si>
    <t>표준 폭이 지나치게 짧고 좁으며 내부 공간이 낮다는 문제가 반복됨. 한 실착자는 끈을 묶는 것만으로도 아팠고</t>
  </si>
  <si>
    <t>Believe in the Run 실주행·전문 리뷰</t>
  </si>
  <si>
    <t>https://believeintherun.com/shoe-reviews/mizuno-wave-sky-9-review/</t>
  </si>
  <si>
    <t>EV-0337</t>
  </si>
  <si>
    <t>쿠션과 통기성은 마음에 들었지만 작게 나온 핏 때문에 온라인에서 정사이즈로 구매하면 발가락 압박</t>
  </si>
  <si>
    <t>FIT_NARROW | detail:FOREFOOT_PRESSURE;HEAT_BREATHABILITY</t>
  </si>
  <si>
    <t>https://www.reddit.com/r/AskRunningShoeGeeks/comments/1m45cgb/long_run_shoe/</t>
  </si>
  <si>
    <t>EV-0338</t>
  </si>
  <si>
    <t>내부 높이가 낮고 토박스가 좁다</t>
  </si>
  <si>
    <t>https://www.reddit.com/r/AskRunningShoeGeeks/comments/1p0r37u/mizuno_long_run_recovery_run_options_wave_sky_9/</t>
  </si>
  <si>
    <t>EV-0339</t>
  </si>
  <si>
    <t>사용자는 대체로 마음에 들었지만, 마라톤 훈련 거리가 늘면서 한쪽 발등 통증과 끈 조절 문제를 느낌.</t>
  </si>
  <si>
    <t>https://www.reddit.com/r/AskRunningShoeGeeks/comments/1qk2adg/shoe_trouble/</t>
  </si>
  <si>
    <t>EV-0340</t>
  </si>
  <si>
    <t>Wave Sky 9이 쿠션은 있지만 너무 무겁고 clunky해서 벽돌 같다고 평가.</t>
  </si>
  <si>
    <t>https://www.reddit.com/r/AskRunningShoeGeeks/comments/1tqvv4n/looking_for_a_new_running_shoe_narrow_feet/</t>
  </si>
  <si>
    <t>EV-0341</t>
  </si>
  <si>
    <t>러닝 매장에서 과회내를 보완하기 위해 추천받아 처음 하프마라톤에 사용했지만, 사용자가 사진으로 보기에도 여전히 과도하게 안쪽으로 무너졌고 주행감도 정상적으로 느껴지지 않았다고 호소함</t>
  </si>
  <si>
    <t>https://www.reddit.com/r/AskRunningShoeGeeks/comments/1rcg1bc/overpronation/</t>
  </si>
  <si>
    <t>EV-0342</t>
  </si>
  <si>
    <t>발이 안쪽으로 크게 무너지는 현상을 경험함. 약 110km 후 한쪽 신발의 내측 폼이 완전히 손상돼 신발을 버림</t>
  </si>
  <si>
    <t>https://www.reddit.com/r/AskRunningShoeGeeks/comments/1t0oara/mizuno_wave_rebellion_flash_3_advice/</t>
  </si>
  <si>
    <t>EV-0343</t>
  </si>
  <si>
    <t>자신에게는 과내전을 크게 유발하고 110km 만에 안쪽 폼이 망가졌다고 함.</t>
  </si>
  <si>
    <t>EV-0344</t>
  </si>
  <si>
    <t>2015년부터 미즈노를 신은 사용자가 플래시 3의 아킬레스 뒤쪽 자극을 강하게 느낌. 신발 자체는 빠르지만 긴 힐 플레어 때문에 실망했으며, 아킬레스와 뒤꿈치 마찰에 민감한 사람은 주의</t>
  </si>
  <si>
    <t>AGGRESSIVE_RIDE | detail:HEEL_SLIP</t>
  </si>
  <si>
    <t>https://www.reddit.com/r/RunningShoeGeeks/comments/1mthljx/wave_rebellion_flash_3_available_in_rw_aus/</t>
  </si>
  <si>
    <t>EV-0345</t>
  </si>
  <si>
    <t>첫 주행에서 아주 편안하지 않았고, 10km 중 약 5km 이후 피로가 쌓이자 신발이 덜 관대하게 느껴졌다고 설명함. 느린 페이스에서는 다소 불안정하고 독특한 지오메트리에 적응이 필요해, 별도의 데일리 트레이너를 찾게 됨</t>
  </si>
  <si>
    <t>https://www.reddit.com/r/AskRunningShoeGeeks/comments/1oszeov/recommended_daily_shoes_to_compliment_mizuno_wave/</t>
  </si>
  <si>
    <t>EV-0346</t>
  </si>
  <si>
    <t>사용자는 신발이 안쪽으로 공격적으로 기울어진 것처럼 느껴져 바로 반품함. 과회내가 있는 사람에게 어떤 영향을 줄지 걱정될 정도였으며, 폼의 성능은 좋았지만 불안정한 구조</t>
  </si>
  <si>
    <t>https://www.reddit.com/r/RunningShoeGeeks/comments/1gjkf9r/mizuno_wave_rebellion_pro_3_crazy_zebra/</t>
  </si>
  <si>
    <t>EV-0347</t>
  </si>
  <si>
    <t>40마일을 달린 실착자는 힐 칼라가 아킬레스건을 문질러 물집이 생겼고, 피로가 쌓이면 공격적인 로커가 오히려 주행을 방해한다고 평가함. 빠른 코너에서는 높은 구조가 다루기 어려웠으며, 대부분의 러너에게는 지나치게 특수하고 까다로운 레이스화</t>
  </si>
  <si>
    <t>AGGRESSIVE_RIDE | detail:BLISTER;HEEL_SLIP</t>
  </si>
  <si>
    <t>https://www.tomsguide.com/wellness/running/mizuno-wave-rebellion-pro-3-review</t>
  </si>
  <si>
    <t>EV-0348</t>
  </si>
  <si>
    <t>10km까지 3회 달린 사용자가 매번 약 2.5km부터 오른발에 물집이 생기고 6km부터는 통증이 심해졌다고 함. 다른 사용자도 같은 위치에 물집이 생겼으며, 갑피 위의 단단한 플라스틱 푸마 로고가 접히면서 발을 반복적으로 문지르는 것이 원인이라고 설명함</t>
  </si>
  <si>
    <t>https://www.reddit.com/r/AskRunningShoeGeeks/comments/1nnlnrw/how_can_i_prevent_blisters_from_forming_in_puma/</t>
  </si>
  <si>
    <t>EV-0349</t>
  </si>
  <si>
    <t>벨로시티 1~4를 모두 신은 사용자가 VN4의 왼쪽 신발만 중족부가 비정상적으로 타이트하고 힐 슬립이 발생했다고 함. 좌우 무게를 측정하자 왼쪽이 약 20g 더 무거웠고, 다른 사용자는 좌우가 40g 차이 난 사례도 있었다고 전함.</t>
  </si>
  <si>
    <t>https://www.reddit.com/r/AskRunningShoeGeeks/comments/1qb6kgc/puma_nitro_velocity_4_quality_issues/</t>
  </si>
  <si>
    <t>EV-0350</t>
  </si>
  <si>
    <t>중족부가 너무 타이트하다고 평가함. 다른 사용자는 갑피가 지금까지 신은 러닝화 중 가장 불편했고, 중족부 안쪽을 계속 파고들었다고 함. 약 20마일 후 조금 늘어났지만 여전히 보유 신발 중 가장 타이트했다는 의견</t>
  </si>
  <si>
    <t>https://www.reddit.com/r/RunningShoeGeeks/comments/1mn6mul/puma_velocity_nitro_4/</t>
  </si>
  <si>
    <t>EV-0351</t>
  </si>
  <si>
    <t>- 핏이 안 맞는 사람도 있음
- 갑피가 스펀지 같아서 물을 잘 흡수함
- 미드솔이 고강도 롱런에는 너무 낮을 수도 있음
젖은 날 갑피가 물을 많이 먹고 혀가 움직인다고 함.</t>
  </si>
  <si>
    <t>https://www.reddit.com/r/RunningShoeGeeks/comments/1r4kl19/puma_velocity_nitro_4_long_term_review_650km/?tl=ko</t>
  </si>
  <si>
    <t>EV-0352</t>
  </si>
  <si>
    <t>푹신한 맥스쿠션화를 기대한 사용자가 실제로는 예상보다 단단하고 눌리는 느낌이 적다고 평가함. 100마일 이상 사용한 다른 사용자도 충분히 길들여진 뒤에도 물렁해지지 않았다고 답함.</t>
  </si>
  <si>
    <t>https://www.reddit.com/r/AskRunningShoeGeeks/comments/1qnxktu/puma_magmax_2_breakin_period_or_just_not_that/</t>
  </si>
  <si>
    <t>EV-0353</t>
  </si>
  <si>
    <t>다만 뒤꿈치가 약간 여유로워 힐슬립이 있었다고 함.</t>
  </si>
  <si>
    <t>https://www.reddit.com/r/RunningShoeGeeks/comments/1pec5j2/puma_magmax_2_first_run_review/</t>
  </si>
  <si>
    <t>EV-0354</t>
  </si>
  <si>
    <t>달린 날씨: 덥고 습함 (발리 날씨), 주로 저녁에 달림
내 프로필: 키: 6’1” (185 cm) 몸무게: 250 lbs (113 kg)
갑피가 더움, 특히 습한 날씨에
빠른 신발 아님 — 속도를 내려고 하면 둔하게 느껴짐
로테이션에 있는 다른 신발들에 비해 약간 더 무거움
운동이나 템포런에는 별로</t>
  </si>
  <si>
    <t>고온다습 환경(Bali) / Reddit</t>
  </si>
  <si>
    <t>https://www.reddit.com/r/RunningShoeGeeks/comments/1s44mrz/puma_magmax_2_from_a_heavy_runner/?tl=ko</t>
  </si>
  <si>
    <t>EV-0355</t>
  </si>
  <si>
    <t>80km를 달린 사용자는 첫 주행에서 반응성이 부족하고 달리기 힘들었으며 30~40km가 지나야 폼이 조금 부드러워졌다고 함. 10km가 넘으면 무게가 크게 느껴졌고, 템포런 후반에는 다리가 고통스러울 정도로 무거워졌으며 정가 구매 가치는 낮다고 평가</t>
  </si>
  <si>
    <t>https://www.reddit.com/r/AskRunningShoeGeeks/comments/1j3l5vp/puma_forever_run_nitro_2/</t>
  </si>
  <si>
    <t>EV-0356</t>
  </si>
  <si>
    <t>과회내가 심한 사용자가 러닝숍에서 신었을 때 왼발이 안쪽으로 계속 무너지는 것이 눈으로 확인돼 안정성이 충분하지 않다고 판단함. 안정화 신발인데도 사용자의 과회내 정도에 따라 지지력이 부족할 수 있으며, 반발감도 기대보다 약했다고 함. 와이드 버전도 안정 구조는 동일함.</t>
  </si>
  <si>
    <t>EV-0357</t>
  </si>
  <si>
    <t>포에버런 나이트로 2의 힐 칼라가 발목을 너무 파고들어서 불편하길래 반품했어</t>
  </si>
  <si>
    <t>https://www.reddit.com/r/AskRunningShoeGeeks/comments/1r3r10m/foreverrun_nitro_2_vs_guide_18/?tl=ko</t>
  </si>
  <si>
    <t>EV-0358</t>
  </si>
  <si>
    <t>사용자들은 좋은 데일리화지만 매우 신나는 신발은 아니다, 편하고 안정적이며 접지가 좋지만 반응성은 거의 없다는 식으로 평가가 갈림.</t>
  </si>
  <si>
    <t>https://www.reddit.com/r/AskRunningShoeGeeks/comments/1tquglm/puma_foreverrun_nitro_2/</t>
  </si>
  <si>
    <t>EV-0359</t>
  </si>
  <si>
    <t>디비에이트 4는 길이가 지나치게 길어 힐 슬립이 걱정됐다고 함. 옆부분이 발을 감싸지만 끈을 강하게 묶지 않으면 발이 신발 안에서 조금씩 움직여, 길이는 남으면서 중족부는 조이는 상반된 핏 문제가 발생할 수 있음</t>
  </si>
  <si>
    <t>https://www.reddit.com/r/AskRunningShoeGeeks/comments/1qq4hae/puma_deviate_nitro_4_size_opinions/</t>
  </si>
  <si>
    <t>EV-0360</t>
  </si>
  <si>
    <t>139마일을 달린 사용자는 정사이즈지만 중족부가 타이트하다고 평가함. 빠른 페이스에서는 살아나지만 이지런·회복주에서는 로커나 추진감이 뚜렷하지 않아 평범하고 지루하게 느껴진다고 설명함</t>
  </si>
  <si>
    <t>https://www.reddit.com/r/RunningShoeGeeks/comments/1qb6ya1/puma_deviate_4_140_miles/</t>
  </si>
  <si>
    <t>EV-0361</t>
  </si>
  <si>
    <t>그냥 플레이트 없이 나오거나, 최소한 플레이트 없는 버전이 나왔으면 좋겠어요. 그러면 EVO SL이랑 Azura의 강력한 경쟁자가 될 텐데요. 푸마 플레이트는 제게 별로였어요. 제가 너무 가볍거나 빠르지 않아서 플레이트의 장점을 살리지 못하고, 제 생각엔 성능에만 집중해서 안정성을 더 높여주지도 않아요.
여전히 발 중간 부분이 특히 좁고, DN3에서 거의 변하지 않았어요. 공격적인 지오메트리와 얇은 힐 때문에 매일 신는 트레이너나 안정성 측면에서 내전하는 발뒤꿈치 착지 러너에게는 최선의 선택이 아니에요.
하이록스 색상이 좀 과해요. 밝고 눈에 띄는 색상과 디자인은 정말 좋아하지만, 안타깝게도 푸마는 큰 글씨로 NITRO/HYROX/등등을 붙이는 경향이 있는데, 특히 저처럼 느린 러너는 그걸 원하지 않거든요</t>
  </si>
  <si>
    <t>AGGRESSIVE_RIDE;FIT_NARROW | detail:HEEL_SLIP</t>
  </si>
  <si>
    <t>https://www.reddit.com/r/RunningShoeGeeks/comments/1qbxhjx/puma_deviate_nitro_4_slow_heel_striker_review/?tl=ko</t>
  </si>
  <si>
    <t>EV-0362</t>
  </si>
  <si>
    <t>약 150마일을 사용한 러너도 정사이즈이지만 중족부가 다소 좁다고 기록함. 다른 약 90마일 사용자도 중족부가 타이트하다고 평가해, 앞부분 공간과 별개로 발 가운데가 눌릴 가능성이 반복적으로 확인됨. 장거리에서는 발이 부으면서 압박이 더 커질 수 있음.</t>
  </si>
  <si>
    <t>https://www.reddit.com/r/RunningShoeGeeks/comments/1k1emyu/puma_fastr_nitro_elite_3/</t>
  </si>
  <si>
    <t>EV-0363</t>
  </si>
  <si>
    <t>레이스핏이 좁고, 발이 옆으로 걸치는 느낌이 있었다고 함.</t>
  </si>
  <si>
    <t>https://www.reddit.com/r/RunningShoeGeeks/comments/1kmclmg/</t>
  </si>
  <si>
    <t>EV-0364</t>
  </si>
  <si>
    <t>뒤꿈치가 잘려 있는 독특한 구조 때문에 걷거나 워밍업할 때 매우 어색하게 느껴졌고, 혀가 고정되지 않아 평평하게 놓이도록 계속 조절해야 했다고 함. 템포런 후반에는 앞꿈치 볼 부위에 통증이 생겼고, 기존 디비에이트 엘리트 3보다 추진력이 특별히 더 좋다고 느끼지 못함. 이후 세 번, 총 45마일 동안 계속 발 통증이 발생했다는 추가 의견</t>
  </si>
  <si>
    <t>OTHER | detail:FOREFOOT_PRESSURE</t>
  </si>
  <si>
    <t>https://www.reddit.com/r/RunningShoeGeeks/comments/1mvp2yl/first_run_in_puma_fastr_nitro_elite_3/</t>
  </si>
  <si>
    <t>EV-0365</t>
  </si>
  <si>
    <t>사용자는 신발이 원하는 것보다 좁으면서 길이는 약간 길다고 평가함. 앞선 두 번의 주행 후 종아리가 심하게 뻐근했고 발톱이 검게 변했으며, 레이스 워밍업 중에는 오른쪽 아치에 경련이 생겨 끈을 풀어야 했음. 빠르지만 내구성과 활용 범위가 제한적이라 다시 구매하지 않겠다</t>
  </si>
  <si>
    <t>AGGRESSIVE_RIDE;FIT_NARROW | detail:DURABILITY</t>
  </si>
  <si>
    <t>https://www.reddit.com/r/RunningShoeGeeks/comments/1nfozhp/puma_fast_r3_first_race_review/</t>
  </si>
  <si>
    <t>EV-0366</t>
  </si>
  <si>
    <t>- 난 별로던데, 다른 사람들은 좋다고 하더라고. 돌멩이도 엄청 잘 끼고, 밑창도 꽤 딱딱하고, 발이 부드럽게 굴러가는 느낌도 전혀 없어
- 근데 문제는 발 아치 안쪽(발볼 바로 옆)이 꽉 조이는 느낌이 든다는 거야. 방금 러닝 끝내고 왔는데, 꽉 조여서 물집 두 개나 잡혔어.</t>
  </si>
  <si>
    <t>https://www.reddit.com/r/runninglifestyle/comments/1j02sww/are_on_cloudrunners_good_running_shoes_or_is_it/?tl=ko</t>
  </si>
  <si>
    <t>EV-0367</t>
  </si>
  <si>
    <t>- 발등과 신발 끈 부위가 너무 좁아 신자마자 통증이 생겼다는 구매자 후기가 있음. 다른 구매자도 HOKA 와이드보다 공간이 부족하고 신발 윗부분이 발등을 압박한다고 평가해
- 실내에서 신은 다음 날 무릎과 정강이에 심한 통증이 생겨 착용할 수 없었다는 후기가 있음.
- 신발은 튼튼하고 깔창도 들어가지만 양쪽 중족골 부위를 압박했다는 구매자 후기
- 기존 클라우드러너를 세 켤레 신었던 다른 구매자는 3세대가 이전 모델과 달리 발에 벽돌을 단 것처럼 단단하고 무겁게 느껴진다</t>
  </si>
  <si>
    <t>FIT_NARROW;HEAVY | detail:FOREFOOT_PRESSURE</t>
  </si>
  <si>
    <t>https://www.zappos.com/product/review/10025085</t>
  </si>
  <si>
    <t>EV-0368</t>
  </si>
  <si>
    <t>매장 추천으로 샀지만, 끈 보강 부위가 발 옆을 문질러 통증이 생겼다는 후기. 댓글에서도 같은 문제로 반품한 사례</t>
  </si>
  <si>
    <t>https://www.reddit.com/r/ONrunning/comments/1tqgv5n/on_cloudsurfer_2/</t>
  </si>
  <si>
    <t>EV-0369</t>
  </si>
  <si>
    <t>Novablast 5·Mach 계열 사용자 관점에서, Cloudsurfer 2는 더 단단하고 에너지 리턴이 낮다고 평가. 안정적이지만 재미는 적다고 봄.</t>
  </si>
  <si>
    <t>https://www.reddit.com/r/RunningShoeGeeks/comments/1iyo82u/</t>
  </si>
  <si>
    <t>EV-0370</t>
  </si>
  <si>
    <t>- 오른쪽 새끼발가락 주변의 신발 구조가 계속 문질러 통증이 발생했다는 구매자 후기
앞쪽 아일렛을 고정하는 추가 소재가 새끼발가락을 문질러, 10마일만 달리고 신발을 버려야 할 것 같다는 장기 러너의 후기
신발이 양쪽 발을 바깥으로 밀어 발목이 접질리는 것처럼 느껴졌다는 구매자 후기가 있음. 다른 On 모델에서는 없었던 현상이고 양쪽에서 모두 발생
신발 측면의 장식 스티치가 엄지와 새끼발가락 옆 뼈를 문질렀고, 끈을 느슨하게 풀어도 해결되지 않아 반품했다</t>
  </si>
  <si>
    <t>https://www.zappos.com/product/review/9981529</t>
  </si>
  <si>
    <t>EV-0371</t>
  </si>
  <si>
    <t>- 너무 뻣뻣해! 완전 동의, 톡톡 튀는 맛도 없고 꽤 뻣뻣해요. 몇몇 좋은 부분도 있었는데, 가끔은 부드럽게 느껴지기도 했어요, 아마? 전반적으로 실망했어요.
- 처음엔 너무 딱딱했지만 길들이기 후 부드럽고 안정적인 재미가 생겼다고 평가. 단, 에너지 리턴은 크지 않다고 함.</t>
  </si>
  <si>
    <t>https://www.reddit.com/r/ONrunning/comments/1rvq7ne/cloud_monster_3_review/?tl=ko</t>
  </si>
  <si>
    <t>EV-0372</t>
  </si>
  <si>
    <t>- 신발 내부가 매우 뜨거워 대나무 소재 양말을 신어도 착용할 수 없었다는 2점 구매자 후기
- 최대 쿠션이 편하다는 평가와 동시에 사용자나 용도에 따라 지나치게 물렁하게 느껴질 수 있다는 구매자 의견</t>
  </si>
  <si>
    <t>https://www.zappos.com/p/mens-on-cloudmonster-3-black-black/product/10025082/color/183092</t>
  </si>
  <si>
    <t>EV-0373</t>
  </si>
  <si>
    <t>- 클라우드몬스터 2에서 3으로 바꾼 구매자는 같은 착화감을 얻기 위해 반 사이즈를 올려야 했다고 함. 여성용 구매자 핏 조사에서도 소규모 표본이지만 절반이 한 사이즈 작게 느꼈다고 응답함. 반대로 다른 구매자는 같은 사이즈가 너무 커 반 사이즈를 내림</t>
  </si>
  <si>
    <t>https://www.zappos.com/p/womens-on-cloudmonster-3-black-black/product/10025087/color/183092</t>
  </si>
  <si>
    <t>EV-0374</t>
  </si>
  <si>
    <t>안에 플레이트랑 꽤 딱딱한 (밀도 높은?) 폼 때문에 신발이 엄청 뻣뻣해. 로커도 되게 심해서 걸을 때 보행 패턴이 확 바뀌더라. 온(On) 신발은 처음인데, 지금까지 한 2km 정도 신어봤는데 첫인상은 전혀 좋지 않아. 왜 사람들이 온을 '스테이크가 아니라 지글거리는 소리만 파는 브랜드'라고 생각하는지 알겠네.</t>
  </si>
  <si>
    <t>PLATE_STIFF</t>
  </si>
  <si>
    <t>https://www.reddit.com/r/ONrunning/comments/1sqquw9/has_anyone_tried_the_cloudflow_5_ad/?tl=ko</t>
  </si>
  <si>
    <t>EV-0375</t>
  </si>
  <si>
    <t>클라우드플로우 5는 앞부분 로커와 플레이트가 강하게 적용돼 걸을 때 움직임이 매우 이상하게 느껴진다는 사용자 의견</t>
  </si>
  <si>
    <t>https://www.reddit.com/r/ONrunning/comments/1uhhr6k/cloudflow_5_or_cloudmonster_1_for_everyday_wear/</t>
  </si>
  <si>
    <t>EV-0376</t>
  </si>
  <si>
    <t>실제 주행자는 중족부와 앞부분이 좁고 단단하며 와이드 옵션도 없다고 평가함. 넓은 발에는 적합하지 않고, 발가락을 펼칠 공간도 많지 않음. 또한 단단한 미드솔이 약 한 시간 이후부터 발에 부담을 줘 장거리나 이지런에는 맞지 않았다</t>
  </si>
  <si>
    <t>https://runtothefinish.com/on-cloudflow-5-review/</t>
  </si>
  <si>
    <t>EV-0377</t>
  </si>
  <si>
    <t>신에게 너무 불안정한 것 같아 더 안정적인 레이스화를 찾는다고 함. 정사이즈는 맞았지만 높은 폼과 좁은 플랫폼의 좌우 안정성이 구매를 포기하게 만듬</t>
  </si>
  <si>
    <t>https://www.reddit.com/r/AskRunningShoeGeeks/comments/1pke3j1/more_stable_alternative_to_on_cloudboom_strike/</t>
  </si>
  <si>
    <t>EV-0378</t>
  </si>
  <si>
    <t>정사이즈에서는 뒤꿈치가 들리고 중족부·앞부분과 길이가 너무 많이 남아 반 사이즈를 내렸지만, 사이즈를 내리자 새끼발가락 부위가 조이고 신발의 굽힘 위치가 발과 맞지 않았다는 사용 후기</t>
  </si>
  <si>
    <t>https://www.reddit.com/r/RunningShoeGeeks/comments/1ebdqp0/on_cloudboom_strike_review_at_26_miles/</t>
  </si>
  <si>
    <t>EV-0379</t>
  </si>
  <si>
    <t>CloudBoom Strikes에서 240mm를 샀는데, 뒤꿈치, 발등, 발가락 부분에 공간이 너무 많았어. 길이도 약간 길었어, 갑피에 공간이 많고, 텅 부분에도 소재가 많아서, 처음 몇 번의 달리기를 하기 전과 하는 동안 끈을 묶고 정리하는 데 시행착오를 겪었어. 참고로, 끈도 엄청 길어서 잘라야 할 수도 있어,코너링에는 확실히 불안정해, 갑피 소재 때문에 발목에 꽤 심한 물집이 생겼는데, 두꺼운 양말로는 해결되지 않을 것 같았어. 하지만 날카로운 칼로 신발 칼라 주변의 소재를 약 2.5cm 정도 잘라내서 문제를 해결했어
느낌은 좋았는데 발이 완전 망가졌어. 이미 물집이 좀 있었는데, 오늘 뛰고 나서 훨씬 심해졌어.</t>
  </si>
  <si>
    <t>https://www.reddit.com/r/RunningShoeGeeks/comments/1ebdqp0/on_cloudboom_strike_review_at_26_miles/?tl=ko</t>
  </si>
  <si>
    <t>EV-0380</t>
  </si>
  <si>
    <t>끈이 불필요할 정도로 길고, 신발을 신을 때 얇은 뒤꿈치와 혀를 동시에 잡아야 할 만큼 발을 넣기가 어렵다는 후기</t>
  </si>
  <si>
    <t>https://www.reddit.com/r/RunningShoeGeeks/comments/1el79ty/on_cloudboom_strike/</t>
  </si>
  <si>
    <t>EV-0381</t>
  </si>
  <si>
    <t>근데 레이싱화 치고는 미드솔이 너무 죽은 느낌이었어.
제 생각에 클라우드붐 스트라이크는 완전한 뒤꿈치 착지 러너에게는 적합하지 않지만, 미드풋이나 앞발 착지 러너에게는 괜찮을 거예요.</t>
  </si>
  <si>
    <t>https://www.reddit.com/r/RunningShoeGeeks/comments/1s396sq/on_cloudboom_strike_review_after_50km/?tl=ko</t>
  </si>
  <si>
    <t>EV-0382</t>
  </si>
  <si>
    <t>2주 동안 러닝 10마일, 걷기 30마일 정도만 사용했는데 아웃솔 트레드가 벗겨지기 시작했다는 1점 후기</t>
  </si>
  <si>
    <t>REI 실제 구매자 리뷰</t>
  </si>
  <si>
    <t>https://www.rei.com/product/C05680/brooks-ghost-18-road-running-shoes-mens#reviews-filters</t>
  </si>
  <si>
    <t>EV-0383</t>
  </si>
  <si>
    <t>빠른 페이스로 올리면 신발이 무겁고 둔하며 clunky하게 느껴지고</t>
  </si>
  <si>
    <t>https://www.tomsguide.com/wellness/running/brooks-ghost-18-review</t>
  </si>
  <si>
    <t>EV-0384</t>
  </si>
  <si>
    <t>기존 고스트보다 밑창이 두꺼워지면서 지지력과 안정성이 오히려 떨어진다고 느낀 구매자가 있음. 일반 발볼인데도 토박스가 너무 넓어 발이 신발 안에서 헤엄치는 것 같았고, 밑창 구조가 맞춤형 깔창의 위치까지 바꾼다고 불평
높은 아치를 가진 구매자는 신발 자체는 편하지만 아치 지지가 충분하지 않다고 평가함</t>
  </si>
  <si>
    <t>https://www.zappos.com/kratos/p/womens-brooks-ghost-18-peach-grape-coconut/product/10041250/color/1127028</t>
  </si>
  <si>
    <t>EV-0385</t>
  </si>
  <si>
    <t>- 글리세린 21·22·23을 모두 사용한 구매자가 23을 두 달 정도 가볍게 신은 뒤 발과 다리가 지속적으로 피로하고 쑤셨다고 함. 이전 글리세린에서는 경험하지 못한 불편이라 더 이상 시리즈를 추천하기 어렵다
- 무겁고 유연성이 부족하며 디자인도 투박하다</t>
  </si>
  <si>
    <t>https://www.rei.com/product/C00982/brooks-glycerin-23-road-running-shoes-mens</t>
  </si>
  <si>
    <t>EV-0386</t>
  </si>
  <si>
    <t>3마일 이상 걷거나 달리면 뒤꿈치 쿠션이 부족한 것처럼 발뒤꿈치가 아픈 문제가 생겼다</t>
  </si>
  <si>
    <t>https://www.reddit.com/r/brooks/comments/1s59uwm/brooks_glycerin_23_hurting_my_heels/</t>
  </si>
  <si>
    <t>EV-0387</t>
  </si>
  <si>
    <t>브룩스 신발을 신고 뛸 때마다 발바닥 중간에 심한 화끈거리는 통증이 느껴져요. 너무 심해서 5~7분 정도 뛰면 진짜 멈춰야 할 정도예요.</t>
  </si>
  <si>
    <t>https://www.reddit.com/r/BeginnersRunning/comments/1swy2iz/foot_pain_with_brooks_adrenaline_gts_25_but_none/?tl=ko</t>
  </si>
  <si>
    <t>EV-0388</t>
  </si>
  <si>
    <t>걸음을 내디딜 때마다 발이 뒤로 빠져나오는 듯한 심한 힐 슬립을 경험</t>
  </si>
  <si>
    <t>https://www.reddit.com/r/brooks/comments/1rcrnfi/anyone_else_having_issues_with_feet_slipping_out/</t>
  </si>
  <si>
    <t>EV-0389</t>
  </si>
  <si>
    <t>너무 부드러워 발이 빠르게 피로해지고 아프다는 의견</t>
  </si>
  <si>
    <t>https://www.reddit.com/r/brooks/comments/1rcykp8/adrenaline_gts_25_too_soft/</t>
  </si>
  <si>
    <t>EV-0390</t>
  </si>
  <si>
    <t>- 이 신발 신으니까 엄지발가락도 좀 이상해. 발바닥에 꽉 눌리는 느낌이고 발가락 구부리기도 힘들어
- 발등에 극심한 물집이 생겨. 이상한 건 오른쪽 신발에서만 그래. 왼쪽은 딱 맞아.
뒤꿈치가 미친 듯이 헛돌거나 너무 꽉 묶어야 해서 불편하니까 나한테는 좀 큰가 봐. 발목 주변이 낮게 파인 것도 별로였어
이걸 신고 하루 종일 걸었더니 발이랑 발목이 너무 아파요.</t>
  </si>
  <si>
    <t>FIT_NARROW | detail:BLISTER;FOREFOOT_PRESSURE</t>
  </si>
  <si>
    <t>https://www.reddit.com/r/brooks/comments/1s5ce3t/adrenaline_gts_25/?tl=ko</t>
  </si>
  <si>
    <t>EV-0391</t>
  </si>
  <si>
    <t>25는 더 부드럽고 덜 안정적이며 아치 지지력이 약간 떨어집니다</t>
  </si>
  <si>
    <t>https://www.reddit.com/r/brooks/comments/1s86d6k/adrenaline_gts_24_or_25/?tl=ko</t>
  </si>
  <si>
    <t>EV-0392</t>
  </si>
  <si>
    <t>- 기존 아드레날린 사용자에게 25의 쿠션이 지나치게 스펀지처럼 물렁해 안정적인 지지감이 사라졌다는 불만이 있음. 두 차례 무릎 인공관절 수술을 받은 구매자는 이전 버전보다 걷기에 불안해 다른 신발을 찾겠다
- 이전 제품보다 훨씬 작고 좁게 느껴진다며 1점을 남김</t>
  </si>
  <si>
    <t>https://www.zappos.com/product/review/10002909</t>
  </si>
  <si>
    <t>EV-0393</t>
  </si>
  <si>
    <t>- 높은 쿠션 때문에 런지나 한쪽 다리에 체중을 싣는 운동에서 발목을 쉽게 접지를 것 같은 느낌이 있었다는 후기
약 15회 정도만 신었는데 신발 앞부분 갑피에 구멍이 생겼다는 구매자 후기가 있음. 오래된 글리세린은 밑창이 닳을 때까지 갑피가 멀쩡했는데, 고스트 맥스 3는 초기 갑피 내구성이 떨어졌다고 불평함.</t>
  </si>
  <si>
    <t>https://www.rei.com/product/249622/brooks-ghost-max-3-road-running-shoes-womens</t>
  </si>
  <si>
    <t>EV-0394</t>
  </si>
  <si>
    <t>하루 6~8마일 걷는 사용자는 몇 달 만에 밑창 분리와 젖은 환경에서 물 먹는 문제를 경험했다고 함.</t>
  </si>
  <si>
    <t>https://www.reddit.com/r/brooks/comments/1ujc88d/bad_experience_with_ghost_max_3_which_should_i/</t>
  </si>
  <si>
    <t>EV-0395</t>
  </si>
  <si>
    <t>- 3은 핏이 달라졌고 원본보다 편하지 않다고 평가함. 다른 구매자는 넓어진 토박스 때문에 끈을 더 세게 조여야 하고 갑피에 주름이 생긴다고 설명함
하루 약 10마일씩 걷는 사용자는 편안함은 좋지만 약 3개월마다 한 켤레가 닳을 정도로 수명이 짧다</t>
  </si>
  <si>
    <t>FIT_WIDE | detail:DURABILITY</t>
  </si>
  <si>
    <t>https://www.zappos.com/product/review/10002911/page/9</t>
  </si>
  <si>
    <t>EV-0396</t>
  </si>
  <si>
    <t>- Grand Floridian과 Magic Kingdom 주변을 달린 게시물에서 사용자들이 끈을 매우 강하게 조이지 않으면 뒤꿈치가 계속 빠지는 힐 슬립을 지적함. 너무 조이면 불편하고 느슨하면 뒤꿈치가 뜨기 때문에 끈 조절이 매우 까다롭다는 공통 의견이 있음.
- 실제 사용자는 10km·하프마라톤에는 좋지만 앞꿈치 아래 폼이 충분하지 않아 풀마라톤에서 보호력이 부족할 수 있다고 평가</t>
  </si>
  <si>
    <t>OTHER | detail:FOREFOOT_PRESSURE;HEEL_SLIP</t>
  </si>
  <si>
    <t>Disney World·Orlando 사용 맥락 / Reddit</t>
  </si>
  <si>
    <t>https://www.reddit.com/r/RunningShoeGeeks/comments/1m1vch1/brooks_hyperion_elite_5/</t>
  </si>
  <si>
    <t>EV-0397</t>
  </si>
  <si>
    <t>- 뒤꿈치 칼라 안쪽의 패딩 띠가 달리는 중 아킬레스건을 간헐적으로 자극했다는 후기
- 자연스럽고 안정적인 대신 경쟁 레이스화보다 추진력과 폭발적인 속도감이 약하다고 평가됨
- 미국 출시 가격이 275달러로 높았지만 더 저렴한 신발들과 성능 차이가 크지 않아 가격 대비 경쟁력이 떨어진다는 지적</t>
  </si>
  <si>
    <t>https://www.tomsguide.com/wellness/fitness/brooks-hyperion-elite-5-review</t>
  </si>
  <si>
    <t>list_no</t>
  </si>
  <si>
    <t>msrp</t>
  </si>
  <si>
    <t>review_count</t>
  </si>
  <si>
    <t>missing_fields</t>
  </si>
  <si>
    <t>next_source_priority</t>
  </si>
  <si>
    <t>target_status</t>
  </si>
  <si>
    <t>A_RTINGS / RTINGS_DIRECT</t>
  </si>
  <si>
    <t>READY_FOR_MVP</t>
  </si>
  <si>
    <t>P0 필수 Attribute 및 source-backed 성능점수 완료.</t>
  </si>
  <si>
    <t>A_RTINGS / RTINGS_ER_PROXY</t>
  </si>
  <si>
    <t>C_OFFICIAL_ONLY / OFFICIAL_FACT_ONLY</t>
  </si>
  <si>
    <t>RESEARCH_REQUIRED</t>
  </si>
  <si>
    <t>공식 Fact는 확보. Cushion/Stability/Responsiveness 독립 비교 근거 추가 필요.</t>
  </si>
  <si>
    <t>A_RTINGS / RTINGS_COMPOSITE</t>
  </si>
  <si>
    <t>B_RUNREPEAT / RUNREPEAT_RELATIVE</t>
  </si>
  <si>
    <t>구분</t>
  </si>
  <si>
    <t>값/Field</t>
  </si>
  <si>
    <t>정의/운영 기준</t>
  </si>
  <si>
    <t>Core Rule</t>
  </si>
  <si>
    <t>Product unit</t>
  </si>
  <si>
    <t>Market</t>
  </si>
  <si>
    <t>MVP 추천 대상은 KR. USD/US source는 Product Master에 보존하되 KR 추천 대상 제외</t>
  </si>
  <si>
    <t>Missing</t>
  </si>
  <si>
    <t>근거가 없으면 UNKNOWN/Blank. AI 임의 추정 금지</t>
  </si>
  <si>
    <t>P0 필수 Attribute missing 0 + data_status=VERIFIED</t>
  </si>
  <si>
    <t>Primary Use</t>
  </si>
  <si>
    <t>기본/데일리 러닝</t>
  </si>
  <si>
    <t>쿠션·장거리 중심</t>
  </si>
  <si>
    <t>회복주 중심</t>
  </si>
  <si>
    <t>지지/안정화</t>
  </si>
  <si>
    <t>빠른 훈련/템포</t>
  </si>
  <si>
    <t>레이스/기록용</t>
  </si>
  <si>
    <t>5-point</t>
  </si>
  <si>
    <t>1</t>
  </si>
  <si>
    <t>VERY_LOW</t>
  </si>
  <si>
    <t>Plate Type</t>
  </si>
  <si>
    <t>NONE / NYLON / CARBON / OTHER / UNKNOWN</t>
  </si>
  <si>
    <t>06 Controlled Vocabulary</t>
  </si>
  <si>
    <t>Fit Width</t>
  </si>
  <si>
    <t>NARROW / STANDARD / WIDE / UNKNOWN</t>
  </si>
  <si>
    <t>Review evidence로 2건 이상 일관된 좁음/넓음 표현이 있을 때만 임시 구조화</t>
  </si>
  <si>
    <t>Runner Level</t>
  </si>
  <si>
    <t>BEGINNER / INTERMEDIATE / ADVANCED / ALL / UNKNOWN</t>
  </si>
  <si>
    <t>Distance Fit</t>
  </si>
  <si>
    <t>SHORT / MID / LONG / ALL / UNKNOWN</t>
  </si>
  <si>
    <t>Caution</t>
  </si>
  <si>
    <t>FIT_NARROW / FIT_WIDE / STABILITY_LOW / PLATE_STIFF / HEAVY / AGGRESSIVE_RIDE / OTHER</t>
  </si>
  <si>
    <t>06 예시 Tag를 기준으로 사용</t>
  </si>
  <si>
    <t>Detail Tag</t>
  </si>
  <si>
    <t>HEAT_BREATHABILITY / WET_GRIP / DURABILITY / HEEL_SLIP / BLISTER / FOREFOOT_PRESSURE</t>
  </si>
  <si>
    <t>Review 운영용 세부 태그. Recommendation score 자체에는 직접 사용하지 않음</t>
  </si>
  <si>
    <t>Source</t>
  </si>
  <si>
    <t>기존 DB의 공식 브랜드 URL 기반 Fact migration</t>
  </si>
  <si>
    <t>국내/해외 리뷰 파일. GearMatch First-party가 아님</t>
  </si>
  <si>
    <t>Rule Version</t>
  </si>
  <si>
    <t>USE_CASE_MIGRATION_v0.1</t>
  </si>
  <si>
    <t>Legacy '용도 카테고리'를 우선 기준으로 Primary Use 변환. 다중 계열은 Model별 override 적용.</t>
  </si>
  <si>
    <t>Review text → Caution/Detail tag 정규화</t>
  </si>
  <si>
    <t>정가 우선. 범위/모델 매칭 불명확 시 exact MSRP를 비움</t>
  </si>
  <si>
    <t>Data Status</t>
  </si>
  <si>
    <t>이관/정리 완료, P0 필수값 미검증</t>
  </si>
  <si>
    <t>P0 필수값 및 Source 확인 완료</t>
  </si>
  <si>
    <t>STALE</t>
  </si>
  <si>
    <t>확인일 경과/모델 또는 가격 갱신 필요</t>
  </si>
  <si>
    <t>EXCLUDED</t>
  </si>
  <si>
    <t>Recommendation 대상에서 제외</t>
  </si>
  <si>
    <t>v0.2 Source Tier</t>
  </si>
  <si>
    <t>A_RTINGS</t>
  </si>
  <si>
    <t>동일 RTINGS Test Bench 기반. 비교용 우선 Tier</t>
  </si>
  <si>
    <t>B_RUNREPEAT</t>
  </si>
  <si>
    <t>RunRepeat lab 상대값/평가를 Band로 정규화. RTINGS raw와 직접 동일시하지 않음</t>
  </si>
  <si>
    <t>C_OFFICIAL_ONLY</t>
  </si>
  <si>
    <t>공식 Product Fact만 확보. 성능점수 미부여, Recommendation 제외</t>
  </si>
  <si>
    <t>v0.2 Score Rule</t>
  </si>
  <si>
    <t>RTINGS 0~10 → 1~5. v0.15 composite / 구형 ER proxy는 method와 confidence 별도 저장</t>
  </si>
  <si>
    <t>v0.2 Confidence</t>
  </si>
  <si>
    <t>동일 벤치 direct Cushion/Stability/Responsiveness</t>
  </si>
  <si>
    <t>Composite / Energy Return proxy / RunRepeat relative normalization</t>
  </si>
  <si>
    <t>공식 Fact만 있고 비교 성능점수 없음</t>
  </si>
  <si>
    <t>source_tier</t>
  </si>
  <si>
    <t>performance_method</t>
  </si>
  <si>
    <t>cushion_raw_10</t>
  </si>
  <si>
    <t>stability_raw_10</t>
  </si>
  <si>
    <t>responsiveness_direct_10</t>
  </si>
  <si>
    <t>bounciness_10</t>
  </si>
  <si>
    <t>snappiness_10</t>
  </si>
  <si>
    <t>roll_10</t>
  </si>
  <si>
    <t>energy_return_proxy_10</t>
  </si>
  <si>
    <t>fallback_cushion_band</t>
  </si>
  <si>
    <t>fallback_stability_band</t>
  </si>
  <si>
    <t>fallback_responsiveness_band</t>
  </si>
  <si>
    <t>cushion_score_1_5</t>
  </si>
  <si>
    <t>stability_score_1_5</t>
  </si>
  <si>
    <t>responsiveness_score_1_5</t>
  </si>
  <si>
    <t>weight_g_lab</t>
  </si>
  <si>
    <t>drop_mm_lab</t>
  </si>
  <si>
    <t>score_rule_version</t>
  </si>
  <si>
    <t>STANDARD</t>
  </si>
  <si>
    <t>RTINGS 동일 벤치. 기존 리뷰의 FIT_NARROW 주의 태그는 Caution으로 별도 유지.</t>
  </si>
  <si>
    <t>구 버전 벤치에 Responsiveness 종합점수가 없어 Energy Return을 proxy로 사용.</t>
  </si>
  <si>
    <t>Fit은 기존 국내/해외 리뷰 Evidence의 반복된 narrow 신호를 유지.</t>
  </si>
  <si>
    <t>한국 공식: 291g(265mm), 9mm, 레귤러 핏. 공식 KR 목록에 와이드 모델 존재. 독립 성능 점수 미확보로 추천 제외.</t>
  </si>
  <si>
    <t>동일 벤치 점수 사용.</t>
  </si>
  <si>
    <t>RTINGS measured drop 사용. ASICS advertised drop 8mm는 Evidence에서 별도 관리.</t>
  </si>
  <si>
    <t>Responsiveness는 Energy Return proxy. RTINGS plate 분류 Plastic을 GearMatch OTHER로 매핑.</t>
  </si>
  <si>
    <t>Wide sizing available. 기존 리뷰의 snug/narrow 신호 유지.</t>
  </si>
  <si>
    <t>RTINGS forefoot width는 양호, Wide sizing available.</t>
  </si>
  <si>
    <t>Nike KR에 Wide 판매 확인. 공식 무게 325g/280mm, offset 10mm는 Evidence에 병기.</t>
  </si>
  <si>
    <t>Responsiveness는 Energy Return proxy.</t>
  </si>
  <si>
    <t>v0.15 계열: Responsiveness 대신 Bounciness/Snappiness/Roll 평균을 사용.</t>
  </si>
  <si>
    <t>공식 stability 모델. RTINGS measured drop 사용.</t>
  </si>
  <si>
    <t>RunRepeat: shock absorption 보통, stability 강점, energy return 낮음(heel 52.7%). 상대 밴드 정규화.</t>
  </si>
  <si>
    <t>RTINGS Plastic support element → GearMatch OTHER. Wide sizing available.</t>
  </si>
  <si>
    <t>RunRepeat: heel SA 132/forefoot 99, ER 57.2~59.4%, classic stability. Normal/Wide/X-Wide.</t>
  </si>
  <si>
    <t>WIDE</t>
  </si>
  <si>
    <t>CenterPath 기반 안정화. 기존 리뷰 Evidence의 FIT_WIDE 유지.</t>
  </si>
  <si>
    <t>INTERMEDIATE</t>
  </si>
  <si>
    <t>MID</t>
  </si>
  <si>
    <t>Carbon Fiber plate. 빠른 훈련/단거리 레이스 지향.</t>
  </si>
  <si>
    <t>v0.15: Bounciness 7.8 / Snappiness 6.4 / Roll 7.6 평균.</t>
  </si>
  <si>
    <t>Nike KR Wide 판매 확인. 42는 41 대비 넓은 토박스.</t>
  </si>
  <si>
    <t>공식 Nylon plate.</t>
  </si>
  <si>
    <t>RTINGS plastic shank → OTHER. v0.15 composite.</t>
  </si>
  <si>
    <t>RunRepeat: shock absorption high(136 SA), Stability score 65/neutral, ER moderate(56.1 heel/64.3 forefoot), Normal/Wide.</t>
  </si>
  <si>
    <t>v0.15 composite. 공격적 레이스 지향.</t>
  </si>
  <si>
    <t>Responsiveness는 Energy Return proxy. Plastic plate → OTHER.</t>
  </si>
  <si>
    <t>Carbon plate, Wide sizing available.</t>
  </si>
  <si>
    <t>Responsiveness는 ER proxy. Plate는 PUMA 공식 PWRPLATE carbon fact를 우선 적용.</t>
  </si>
  <si>
    <t>v0.15 composite. 낮은 lateral stability 주의.</t>
  </si>
  <si>
    <t>Carbon plate. 레이스화 중 상대적으로 안정적인 편.</t>
  </si>
  <si>
    <t>Carbon ENERGYRODS. snug fit / 낮은 lateral stability 주의.</t>
  </si>
  <si>
    <t>GearMatch AI Product Recommendation DB v0.2 — Release Notes</t>
  </si>
  <si>
    <t>v0.2 내용</t>
  </si>
  <si>
    <t>정규화 규칙</t>
  </si>
  <si>
    <t>Target Product</t>
  </si>
  <si>
    <t>30개</t>
  </si>
  <si>
    <t>Tier A (RTINGS): 원점수 0~10을 1~5로 변환
0~2 → 1 / &gt;2~4 → 2 / &gt;4~6 → 3 / &gt;6~8 → 4 / &gt;8~10 → 5
RTINGS v0.15에서 Responsiveness가 Bounciness/Snappiness/Roll로 분리된 경우 세 값의 평균을 사용.
구형 Methodology에서 Responsiveness가 없는 경우 Energy Return을 proxy로 사용하고 Confidence=MEDIUM.
Tier B (RunRepeat): Source 자체의 High/Medium/Low 및 비교 측정 결과를 GearMatch 1~5 Band로 변환. Tier A와 동일 원점수로 간주하지 않으며 source_tier를 반드시 함께 사용.</t>
  </si>
  <si>
    <t>추천 준비 완료</t>
  </si>
  <si>
    <t>29개</t>
  </si>
  <si>
    <t>추가 조사 필요</t>
  </si>
  <si>
    <t>1개 — adidas Duramo SL 2</t>
  </si>
  <si>
    <t>Tier A</t>
  </si>
  <si>
    <t>RTINGS 동일 테스트 벤치 기반</t>
  </si>
  <si>
    <t>Tier B</t>
  </si>
  <si>
    <t>RunRepeat 상대 측정/평가를 GearMatch Band로 정규화</t>
  </si>
  <si>
    <t>Tier C</t>
  </si>
  <si>
    <t>공식 Product Fact만 확보, 성능점수 미부여</t>
  </si>
  <si>
    <t>성능점수</t>
  </si>
  <si>
    <t>Cushion / Stability / Responsiveness → 1~5</t>
  </si>
  <si>
    <t>Weight / Drop</t>
  </si>
  <si>
    <t>비교 목적은 독립 Lab 실측 우선</t>
  </si>
  <si>
    <t>Plate / Wide</t>
  </si>
  <si>
    <t>공식 Product Fact 우선, Lab/리뷰로 보조</t>
  </si>
  <si>
    <t>주의</t>
  </si>
  <si>
    <t>외부 Lab 데이터의 상용 저장·재배포 권한은 별도 확인 필요</t>
  </si>
  <si>
    <t>운영 권고</t>
  </si>
  <si>
    <t>내용</t>
  </si>
  <si>
    <t>추천 Engine</t>
  </si>
  <si>
    <t>MVP에서는 Tier A와 Tier B를 사용하되 Tier B 제품에는 confidence penalty를 둘 것</t>
  </si>
  <si>
    <t>Duramo SL 2</t>
  </si>
  <si>
    <t>성능 비교 source 확보 전 candidate로 사용하지 않음</t>
  </si>
  <si>
    <t>Score 노출</t>
  </si>
  <si>
    <t>사용자에게 1~5 내부 점수 자체를 노출하기보다 추천 이유/주의사항에 활용</t>
  </si>
  <si>
    <t>Source 갱신</t>
  </si>
  <si>
    <t>제품 세대 변경 또는 독립 Lab 방법론 변경 시 score_rule_version 갱신</t>
  </si>
  <si>
    <t>Licensing</t>
  </si>
  <si>
    <t>RTINGS/RunRepeat 원데이터를 상용 DB에 지속 저장·재배포하기 전 이용약관/라이선스 확인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</si>
</sst>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b/>
      <sz val="11"/>
      <name val="Carlito"/>
    </font>
    <font>
      <b/>
      <sz val="11"/>
      <color rgb="FFFFFFFF"/>
      <name val="Carlito"/>
    </font>
    <font>
      <sz val="11"/>
      <name val="Carlito"/>
    </font>
    <font>
      <sz val="8"/>
      <name val="돋움"/>
      <family val="3"/>
      <charset val="129"/>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FFF2CC"/>
      </patternFill>
    </fill>
    <fill>
      <patternFill patternType="solid">
        <fgColor rgb="FFD9EAF7"/>
      </patternFill>
    </fill>
    <fill>
      <patternFill patternType="solid">
        <fgColor rgb="FFFFF2CC"/>
      </patternFill>
    </fill>
  </fills>
  <borders count="1">
    <border>
      <left/>
      <right/>
      <top/>
      <bottom/>
      <diagonal/>
    </border>
  </borders>
  <cellStyleXfs count="2">
    <xf numFmtId="0" fontId="0" fillId="0" borderId="0"/>
    <xf numFmtId="0" fontId="4" fillId="0" borderId="0"/>
  </cellStyleXfs>
  <cellXfs count="17">
    <xf numFmtId="0" fontId="0" fillId="0" borderId="0" xfId="0"/>
    <xf numFmtId="0" fontId="2" fillId="3" borderId="0" xfId="1" applyFont="1" applyFill="1" applyAlignment="1">
      <alignment wrapText="1"/>
    </xf>
    <xf numFmtId="0" fontId="0" fillId="0" borderId="0" xfId="1" applyFont="1" applyAlignment="1">
      <alignment wrapText="1"/>
    </xf>
    <xf numFmtId="0" fontId="0" fillId="0" borderId="0" xfId="1" applyFont="1" applyAlignment="1">
      <alignment wrapText="1"/>
      <extLst>
        <ext xmlns:xfpb="http://schemas.microsoft.com/office/spreadsheetml/2022/featurepropertybag" uri="{C7286773-470A-42A8-94C5-96B5CB345126}">
          <xfpb:xfComplement i="0"/>
        </ext>
      </extLst>
    </xf>
    <xf numFmtId="0" fontId="3" fillId="2" borderId="0" xfId="1" applyFont="1" applyFill="1" applyAlignment="1">
      <alignment wrapText="1"/>
    </xf>
    <xf numFmtId="3" fontId="0" fillId="0" borderId="0" xfId="1" applyNumberFormat="1" applyFont="1" applyAlignment="1">
      <alignment wrapText="1"/>
    </xf>
    <xf numFmtId="0" fontId="3" fillId="4" borderId="0" xfId="1" applyFont="1" applyFill="1" applyAlignment="1">
      <alignment wrapText="1"/>
    </xf>
    <xf numFmtId="0" fontId="2" fillId="5" borderId="0" xfId="1" applyFont="1" applyFill="1" applyAlignment="1">
      <alignment wrapText="1"/>
    </xf>
    <xf numFmtId="0" fontId="2" fillId="7" borderId="0" xfId="1" applyFont="1" applyFill="1" applyAlignment="1">
      <alignment wrapText="1"/>
    </xf>
    <xf numFmtId="0" fontId="2" fillId="0" borderId="0" xfId="1" applyFont="1" applyAlignment="1">
      <alignment wrapText="1"/>
    </xf>
    <xf numFmtId="0" fontId="1" fillId="2" borderId="0" xfId="1" applyFont="1" applyFill="1" applyAlignment="1">
      <alignment horizontal="left" vertical="center"/>
    </xf>
    <xf numFmtId="0" fontId="2" fillId="3" borderId="0" xfId="1" applyFont="1" applyFill="1" applyAlignment="1">
      <alignment wrapText="1"/>
    </xf>
    <xf numFmtId="0" fontId="0" fillId="6" borderId="0" xfId="1" applyFont="1" applyFill="1" applyAlignment="1">
      <alignment vertical="top" wrapText="1"/>
    </xf>
    <xf numFmtId="0" fontId="2" fillId="7" borderId="0" xfId="1" applyFont="1" applyFill="1" applyAlignment="1">
      <alignment wrapText="1"/>
    </xf>
    <xf numFmtId="0" fontId="0" fillId="8" borderId="0" xfId="1" applyFont="1" applyFill="1" applyAlignment="1">
      <alignment vertical="top" wrapText="1"/>
    </xf>
    <xf numFmtId="0" fontId="1" fillId="4" borderId="0" xfId="1" applyFont="1" applyFill="1" applyAlignment="1">
      <alignment wrapText="1"/>
    </xf>
    <xf numFmtId="0" fontId="2" fillId="5" borderId="0" xfId="1" applyFont="1" applyFill="1" applyAlignment="1">
      <alignment wrapText="1"/>
    </xf>
  </cellXfs>
  <cellStyles count="2">
    <cellStyle name="Normal" xfId="1" xr:uid="{00000000-0005-0000-0000-000000000000}"/>
    <cellStyle name="표준" xfId="0" builtinId="0"/>
  </cellStyles>
  <dxfs count="11">
    <dxf>
      <fill>
        <patternFill>
          <bgColor rgb="FFFCE4D6"/>
        </patternFill>
      </fill>
    </dxf>
    <dxf>
      <fill>
        <patternFill>
          <bgColor rgb="FFE2F0D9"/>
        </patternFill>
      </fill>
    </dxf>
    <dxf>
      <fill>
        <patternFill patternType="solid">
          <bgColor rgb="FFFCE4D6"/>
        </patternFill>
      </fill>
    </dxf>
    <dxf>
      <fill>
        <patternFill patternType="solid">
          <bgColor rgb="FFFFF2CC"/>
        </patternFill>
      </fill>
    </dxf>
    <dxf>
      <fill>
        <patternFill patternType="solid">
          <bgColor rgb="FFE2F0D9"/>
        </patternFill>
      </fill>
    </dxf>
    <dxf>
      <fill>
        <patternFill>
          <bgColor rgb="FFFCE4D6"/>
        </patternFill>
      </fill>
    </dxf>
    <dxf>
      <fill>
        <patternFill>
          <bgColor rgb="FFE2F0D9"/>
        </patternFill>
      </fill>
    </dxf>
    <dxf>
      <fill>
        <patternFill>
          <bgColor rgb="FFFCE4D6"/>
        </patternFill>
      </fill>
    </dxf>
    <dxf>
      <fill>
        <patternFill>
          <bgColor rgb="FFE2F0D9"/>
        </patternFill>
      </fill>
    </dxf>
    <dxf>
      <fill>
        <patternFill>
          <bgColor rgb="FFE2F0D9"/>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MasterTable" displayName="ProductMasterTable" ref="A1:Y62" totalsRowShown="0">
  <tableColumns count="25">
    <tableColumn id="1" xr3:uid="{00000000-0010-0000-0000-000001000000}" name="product_id"/>
    <tableColumn id="2" xr3:uid="{00000000-0010-0000-0000-000002000000}" name="brand"/>
    <tableColumn id="3" xr3:uid="{00000000-0010-0000-0000-000003000000}" name="brand_ko"/>
    <tableColumn id="4" xr3:uid="{00000000-0010-0000-0000-000004000000}" name="series"/>
    <tableColumn id="5" xr3:uid="{00000000-0010-0000-0000-000005000000}" name="model_name"/>
    <tableColumn id="6" xr3:uid="{00000000-0010-0000-0000-000006000000}" name="version"/>
    <tableColumn id="7" xr3:uid="{00000000-0010-0000-0000-000007000000}" name="display_name"/>
    <tableColumn id="8" xr3:uid="{00000000-0010-0000-0000-000008000000}" name="market"/>
    <tableColumn id="9" xr3:uid="{00000000-0010-0000-0000-000009000000}" name="currency"/>
    <tableColumn id="10" xr3:uid="{00000000-0010-0000-0000-00000A000000}" name="product_status"/>
    <tableColumn id="11" xr3:uid="{00000000-0010-0000-0000-00000B000000}" name="kr_sale_confirmed"/>
    <tableColumn id="12" xr3:uid="{00000000-0010-0000-0000-00000C000000}" name="official_product_url"/>
    <tableColumn id="13" xr3:uid="{00000000-0010-0000-0000-00000D000000}" name="official_image_url"/>
    <tableColumn id="14" xr3:uid="{00000000-0010-0000-0000-00000E000000}" name="image_reference_url"/>
    <tableColumn id="15" xr3:uid="{00000000-0010-0000-0000-00000F000000}" name="msrp_krw_or_source_currency"/>
    <tableColumn id="16" xr3:uid="{00000000-0010-0000-0000-000010000000}" name="msrp_raw"/>
    <tableColumn id="17" xr3:uid="{00000000-0010-0000-0000-000011000000}" name="price_verified_at"/>
    <tableColumn id="18" xr3:uid="{00000000-0010-0000-0000-000012000000}" name="target_30"/>
    <tableColumn id="19" xr3:uid="{00000000-0010-0000-0000-000013000000}" name="recommendation_eligible"/>
    <tableColumn id="20" xr3:uid="{00000000-0010-0000-0000-000014000000}" name="data_status"/>
    <tableColumn id="21" xr3:uid="{00000000-0010-0000-0000-000015000000}" name="product_data_version"/>
    <tableColumn id="22" xr3:uid="{00000000-0010-0000-0000-000016000000}" name="legacy_use_category"/>
    <tableColumn id="23" xr3:uid="{00000000-0010-0000-0000-000017000000}" name="legacy_description"/>
    <tableColumn id="24" xr3:uid="{00000000-0010-0000-0000-000018000000}" name="source_quality_note"/>
    <tableColumn id="25" xr3:uid="{00000000-0010-0000-0000-000019000000}" name="updated_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commendationAttrsTable" displayName="RecommendationAttrsTable" ref="A1:W62" totalsRowShown="0">
  <tableColumns count="23">
    <tableColumn id="1" xr3:uid="{00000000-0010-0000-0100-000001000000}" name="product_id"/>
    <tableColumn id="2" xr3:uid="{00000000-0010-0000-0100-000002000000}" name="display_name"/>
    <tableColumn id="3" xr3:uid="{00000000-0010-0000-0100-000003000000}" name="primary_use"/>
    <tableColumn id="4" xr3:uid="{00000000-0010-0000-0100-000004000000}" name="secondary_use_tags"/>
    <tableColumn id="5" xr3:uid="{00000000-0010-0000-0100-000005000000}" name="cushion_score"/>
    <tableColumn id="6" xr3:uid="{00000000-0010-0000-0100-000006000000}" name="stability_score"/>
    <tableColumn id="7" xr3:uid="{00000000-0010-0000-0100-000007000000}" name="responsiveness_score"/>
    <tableColumn id="8" xr3:uid="{00000000-0010-0000-0100-000008000000}" name="weight_g"/>
    <tableColumn id="9" xr3:uid="{00000000-0010-0000-0100-000009000000}" name="drop_mm"/>
    <tableColumn id="10" xr3:uid="{00000000-0010-0000-0100-00000A000000}" name="plate_type"/>
    <tableColumn id="11" xr3:uid="{00000000-0010-0000-0100-00000B000000}" name="fit_width"/>
    <tableColumn id="12" xr3:uid="{00000000-0010-0000-0100-00000C000000}" name="wide_option"/>
    <tableColumn id="13" xr3:uid="{00000000-0010-0000-0100-00000D000000}" name="runner_level_fit"/>
    <tableColumn id="14" xr3:uid="{00000000-0010-0000-0100-00000E000000}" name="distance_fit"/>
    <tableColumn id="15" xr3:uid="{00000000-0010-0000-0100-00000F000000}" name="caution_tags"/>
    <tableColumn id="16" xr3:uid="{00000000-0010-0000-0100-000010000000}" name="caution_detail_tags"/>
    <tableColumn id="17" xr3:uid="{00000000-0010-0000-0100-000011000000}" name="review_evidence_count"/>
    <tableColumn id="18" xr3:uid="{00000000-0010-0000-0100-000012000000}" name="evidence_source_summary"/>
    <tableColumn id="19" xr3:uid="{00000000-0010-0000-0100-000013000000}" name="normalization_rule_version"/>
    <tableColumn id="20" xr3:uid="{00000000-0010-0000-0100-000014000000}" name="data_status"/>
    <tableColumn id="21" xr3:uid="{00000000-0010-0000-0100-000015000000}" name="missing_required_count"/>
    <tableColumn id="22" xr3:uid="{00000000-0010-0000-0100-000016000000}" name="eligibility_gap_summary"/>
    <tableColumn id="23" xr3:uid="{00000000-0010-0000-0100-000017000000}" name="ready_for_recommend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ductEvidenceTable" displayName="ProductEvidenceTable" ref="A1:O398" totalsRowShown="0">
  <tableColumns count="15">
    <tableColumn id="1" xr3:uid="{00000000-0010-0000-0200-000001000000}" name="evidence_id"/>
    <tableColumn id="2" xr3:uid="{00000000-0010-0000-0200-000002000000}" name="product_id"/>
    <tableColumn id="3" xr3:uid="{00000000-0010-0000-0200-000003000000}" name="evidence_level"/>
    <tableColumn id="4" xr3:uid="{00000000-0010-0000-0200-000004000000}" name="product_or_series"/>
    <tableColumn id="5" xr3:uid="{00000000-0010-0000-0200-000005000000}" name="attribute_name"/>
    <tableColumn id="6" xr3:uid="{00000000-0010-0000-0200-000006000000}" name="raw_value"/>
    <tableColumn id="7" xr3:uid="{00000000-0010-0000-0200-000007000000}" name="normalized_value"/>
    <tableColumn id="8" xr3:uid="{00000000-0010-0000-0200-000008000000}" name="source_type"/>
    <tableColumn id="9" xr3:uid="{00000000-0010-0000-0200-000009000000}" name="source_kind"/>
    <tableColumn id="10" xr3:uid="{00000000-0010-0000-0200-00000A000000}" name="source_url"/>
    <tableColumn id="11" xr3:uid="{00000000-0010-0000-0200-00000B000000}" name="verified_at"/>
    <tableColumn id="12" xr3:uid="{00000000-0010-0000-0200-00000C000000}" name="confidence"/>
    <tableColumn id="13" xr3:uid="{00000000-0010-0000-0200-00000D000000}" name="normalization_rule_version"/>
    <tableColumn id="14" xr3:uid="{00000000-0010-0000-0200-00000E000000}" name="market_context"/>
    <tableColumn id="15" xr3:uid="{00000000-0010-0000-0200-00000F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rget30GapTable" displayName="Target30GapTable" ref="A1:M31" totalsRowShown="0">
  <tableColumns count="13">
    <tableColumn id="1" xr3:uid="{00000000-0010-0000-0300-000001000000}" name="priority"/>
    <tableColumn id="2" xr3:uid="{00000000-0010-0000-0300-000002000000}" name="product_id"/>
    <tableColumn id="3" xr3:uid="{00000000-0010-0000-0300-000003000000}" name="display_name"/>
    <tableColumn id="4" xr3:uid="{00000000-0010-0000-0300-000004000000}" name="brand"/>
    <tableColumn id="5" xr3:uid="{00000000-0010-0000-0300-000005000000}" name="primary_use"/>
    <tableColumn id="6" xr3:uid="{00000000-0010-0000-0300-000006000000}" name="msrp"/>
    <tableColumn id="7" xr3:uid="{00000000-0010-0000-0300-000007000000}" name="currency"/>
    <tableColumn id="8" xr3:uid="{00000000-0010-0000-0300-000008000000}" name="review_count"/>
    <tableColumn id="9" xr3:uid="{00000000-0010-0000-0300-000009000000}" name="missing_required_count"/>
    <tableColumn id="10" xr3:uid="{00000000-0010-0000-0300-00000A000000}" name="missing_fields"/>
    <tableColumn id="11" xr3:uid="{00000000-0010-0000-0300-00000B000000}" name="next_source_priority"/>
    <tableColumn id="12" xr3:uid="{00000000-0010-0000-0300-00000C000000}" name="target_status"/>
    <tableColumn id="13" xr3:uid="{00000000-0010-0000-0300-00000D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debookTable" displayName="CodebookTable" ref="A1:C31" totalsRowShown="0">
  <tableColumns count="3">
    <tableColumn id="1" xr3:uid="{00000000-0010-0000-0400-000001000000}" name="구분"/>
    <tableColumn id="2" xr3:uid="{00000000-0010-0000-0400-000002000000}" name="값/Field"/>
    <tableColumn id="3" xr3:uid="{00000000-0010-0000-0400-000003000000}" name="정의/운영 기준"/>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BenchmarkV02Table" displayName="BenchmarkV02Table" ref="A1:AC31" totalsRowShown="0">
  <tableColumns count="29">
    <tableColumn id="1" xr3:uid="{00000000-0010-0000-0500-000001000000}" name="product_id"/>
    <tableColumn id="2" xr3:uid="{00000000-0010-0000-0500-000002000000}" name="display_name"/>
    <tableColumn id="3" xr3:uid="{00000000-0010-0000-0500-000003000000}" name="source_tier"/>
    <tableColumn id="4" xr3:uid="{00000000-0010-0000-0500-000004000000}" name="performance_method"/>
    <tableColumn id="5" xr3:uid="{00000000-0010-0000-0500-000005000000}" name="cushion_raw_10"/>
    <tableColumn id="6" xr3:uid="{00000000-0010-0000-0500-000006000000}" name="stability_raw_10"/>
    <tableColumn id="7" xr3:uid="{00000000-0010-0000-0500-000007000000}" name="responsiveness_direct_10"/>
    <tableColumn id="8" xr3:uid="{00000000-0010-0000-0500-000008000000}" name="bounciness_10"/>
    <tableColumn id="9" xr3:uid="{00000000-0010-0000-0500-000009000000}" name="snappiness_10"/>
    <tableColumn id="10" xr3:uid="{00000000-0010-0000-0500-00000A000000}" name="roll_10"/>
    <tableColumn id="11" xr3:uid="{00000000-0010-0000-0500-00000B000000}" name="energy_return_proxy_10"/>
    <tableColumn id="12" xr3:uid="{00000000-0010-0000-0500-00000C000000}" name="fallback_cushion_band"/>
    <tableColumn id="13" xr3:uid="{00000000-0010-0000-0500-00000D000000}" name="fallback_stability_band"/>
    <tableColumn id="14" xr3:uid="{00000000-0010-0000-0500-00000E000000}" name="fallback_responsiveness_band"/>
    <tableColumn id="15" xr3:uid="{00000000-0010-0000-0500-00000F000000}" name="cushion_score_1_5"/>
    <tableColumn id="16" xr3:uid="{00000000-0010-0000-0500-000010000000}" name="stability_score_1_5"/>
    <tableColumn id="17" xr3:uid="{00000000-0010-0000-0500-000011000000}" name="responsiveness_score_1_5"/>
    <tableColumn id="18" xr3:uid="{00000000-0010-0000-0500-000012000000}" name="weight_g_lab"/>
    <tableColumn id="19" xr3:uid="{00000000-0010-0000-0500-000013000000}" name="drop_mm_lab"/>
    <tableColumn id="20" xr3:uid="{00000000-0010-0000-0500-000014000000}" name="plate_type"/>
    <tableColumn id="21" xr3:uid="{00000000-0010-0000-0500-000015000000}" name="fit_width"/>
    <tableColumn id="22" xr3:uid="{00000000-0010-0000-0500-000016000000}" name="wide_option"/>
    <tableColumn id="23" xr3:uid="{00000000-0010-0000-0500-000017000000}" name="runner_level_fit"/>
    <tableColumn id="24" xr3:uid="{00000000-0010-0000-0500-000018000000}" name="distance_fit"/>
    <tableColumn id="25" xr3:uid="{00000000-0010-0000-0500-000019000000}" name="confidence"/>
    <tableColumn id="26" xr3:uid="{00000000-0010-0000-0500-00001A000000}" name="source_url"/>
    <tableColumn id="27" xr3:uid="{00000000-0010-0000-0500-00001B000000}" name="notes"/>
    <tableColumn id="28" xr3:uid="{00000000-0010-0000-0500-00001C000000}" name="score_rule_version"/>
    <tableColumn id="29" xr3:uid="{00000000-0010-0000-0500-00001D000000}" name="ready_for_recommend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workbookViewId="0">
      <selection activeCell="H19" sqref="H19"/>
    </sheetView>
  </sheetViews>
  <sheetFormatPr defaultRowHeight="14.25"/>
  <cols>
    <col min="1" max="1" width="24" customWidth="1"/>
    <col min="2" max="2" width="60" customWidth="1"/>
    <col min="4" max="4" width="24" customWidth="1"/>
    <col min="5" max="5" width="14" customWidth="1"/>
    <col min="7" max="7" width="20" customWidth="1"/>
    <col min="8" max="8" width="26" customWidth="1"/>
  </cols>
  <sheetData>
    <row r="1" spans="1:8" ht="30" customHeight="1">
      <c r="A1" s="10" t="s">
        <v>0</v>
      </c>
      <c r="B1" s="10"/>
      <c r="C1" s="10"/>
      <c r="D1" s="10"/>
      <c r="E1" s="10"/>
      <c r="F1" s="10"/>
      <c r="G1" s="10"/>
      <c r="H1" s="10"/>
    </row>
    <row r="3" spans="1:8" ht="15">
      <c r="A3" s="1" t="s">
        <v>1</v>
      </c>
      <c r="B3" s="1" t="s">
        <v>2</v>
      </c>
      <c r="C3" s="2"/>
      <c r="D3" s="1" t="s">
        <v>3</v>
      </c>
      <c r="E3" s="1" t="s">
        <v>2</v>
      </c>
      <c r="F3" s="2"/>
      <c r="G3" s="2"/>
      <c r="H3" s="2"/>
    </row>
    <row r="4" spans="1:8">
      <c r="A4" s="2" t="s">
        <v>4</v>
      </c>
      <c r="B4" s="2" t="s">
        <v>5</v>
      </c>
      <c r="C4" s="2"/>
      <c r="D4" s="2" t="s">
        <v>6</v>
      </c>
      <c r="E4" s="2">
        <v>61</v>
      </c>
      <c r="F4" s="2"/>
      <c r="G4" s="2"/>
      <c r="H4" s="2"/>
    </row>
    <row r="5" spans="1:8">
      <c r="A5" s="2" t="s">
        <v>7</v>
      </c>
      <c r="B5" s="2" t="s">
        <v>8</v>
      </c>
      <c r="C5" s="2"/>
      <c r="D5" s="2" t="s">
        <v>9</v>
      </c>
      <c r="E5" s="2">
        <v>51</v>
      </c>
      <c r="F5" s="2"/>
      <c r="G5" s="2"/>
      <c r="H5" s="2"/>
    </row>
    <row r="6" spans="1:8">
      <c r="A6" s="2" t="s">
        <v>10</v>
      </c>
      <c r="B6" s="2" t="s">
        <v>11</v>
      </c>
      <c r="C6" s="2"/>
      <c r="D6" s="2" t="s">
        <v>12</v>
      </c>
      <c r="E6" s="2">
        <v>30</v>
      </c>
      <c r="F6" s="2"/>
      <c r="G6" s="2"/>
      <c r="H6" s="2"/>
    </row>
    <row r="7" spans="1:8">
      <c r="A7" s="2" t="s">
        <v>13</v>
      </c>
      <c r="B7" s="2" t="s">
        <v>14</v>
      </c>
      <c r="C7" s="2"/>
      <c r="D7" s="2" t="s">
        <v>15</v>
      </c>
      <c r="E7" s="2">
        <v>29</v>
      </c>
      <c r="F7" s="2"/>
      <c r="G7" s="2"/>
      <c r="H7" s="2"/>
    </row>
    <row r="8" spans="1:8">
      <c r="A8" s="2" t="s">
        <v>16</v>
      </c>
      <c r="B8" s="2" t="s">
        <v>17</v>
      </c>
      <c r="C8" s="2"/>
      <c r="D8" s="2" t="s">
        <v>18</v>
      </c>
      <c r="E8" s="2">
        <v>275</v>
      </c>
      <c r="F8" s="2"/>
      <c r="G8" s="2"/>
      <c r="H8" s="2"/>
    </row>
    <row r="9" spans="1:8">
      <c r="A9" s="2" t="s">
        <v>19</v>
      </c>
      <c r="B9" s="2" t="s">
        <v>20</v>
      </c>
      <c r="C9" s="2"/>
      <c r="D9" s="2"/>
      <c r="E9" s="2"/>
      <c r="F9" s="2"/>
      <c r="G9" s="2"/>
      <c r="H9" s="2"/>
    </row>
    <row r="10" spans="1:8">
      <c r="A10" s="2"/>
      <c r="B10" s="2"/>
      <c r="C10" s="2"/>
      <c r="D10" s="2"/>
      <c r="E10" s="2"/>
      <c r="F10" s="2"/>
      <c r="G10" s="2"/>
      <c r="H10" s="2"/>
    </row>
    <row r="11" spans="1:8" ht="15">
      <c r="A11" s="11" t="s">
        <v>21</v>
      </c>
      <c r="B11" s="11"/>
      <c r="C11" s="11"/>
      <c r="D11" s="11"/>
      <c r="E11" s="11"/>
      <c r="F11" s="11"/>
      <c r="G11" s="11"/>
      <c r="H11" s="11"/>
    </row>
    <row r="12" spans="1:8">
      <c r="A12" s="12" t="s">
        <v>22</v>
      </c>
      <c r="B12" s="12"/>
      <c r="C12" s="12"/>
      <c r="D12" s="12"/>
      <c r="E12" s="12"/>
      <c r="F12" s="12"/>
      <c r="G12" s="12"/>
      <c r="H12" s="12"/>
    </row>
    <row r="13" spans="1:8">
      <c r="A13" s="12"/>
      <c r="B13" s="12"/>
      <c r="C13" s="12"/>
      <c r="D13" s="12"/>
      <c r="E13" s="12"/>
      <c r="F13" s="12"/>
      <c r="G13" s="12"/>
      <c r="H13" s="12"/>
    </row>
    <row r="14" spans="1:8">
      <c r="A14" s="12"/>
      <c r="B14" s="12"/>
      <c r="C14" s="12"/>
      <c r="D14" s="12"/>
      <c r="E14" s="12"/>
      <c r="F14" s="12"/>
      <c r="G14" s="12"/>
      <c r="H14" s="12"/>
    </row>
    <row r="15" spans="1:8">
      <c r="A15" s="12"/>
      <c r="B15" s="12"/>
      <c r="C15" s="12"/>
      <c r="D15" s="12"/>
      <c r="E15" s="12"/>
      <c r="F15" s="12"/>
      <c r="G15" s="12"/>
      <c r="H15" s="12"/>
    </row>
    <row r="16" spans="1:8">
      <c r="A16" s="12"/>
      <c r="B16" s="12"/>
      <c r="C16" s="12"/>
      <c r="D16" s="12"/>
      <c r="E16" s="12"/>
      <c r="F16" s="12"/>
      <c r="G16" s="12"/>
      <c r="H16" s="12"/>
    </row>
    <row r="17" spans="1:8">
      <c r="A17" s="2"/>
      <c r="B17" s="2"/>
      <c r="C17" s="2"/>
      <c r="D17" s="2"/>
      <c r="E17" s="2"/>
      <c r="F17" s="2"/>
      <c r="G17" s="2"/>
      <c r="H17" s="2"/>
    </row>
    <row r="18" spans="1:8" ht="15">
      <c r="A18" s="8" t="s">
        <v>23</v>
      </c>
      <c r="B18" s="8" t="s">
        <v>24</v>
      </c>
      <c r="C18" s="2"/>
      <c r="D18" s="2"/>
      <c r="E18" s="2"/>
      <c r="F18" s="2"/>
      <c r="G18" s="2"/>
      <c r="H18" s="2"/>
    </row>
    <row r="19" spans="1:8">
      <c r="A19" s="2" t="s">
        <v>25</v>
      </c>
      <c r="B19" s="2" t="s">
        <v>26</v>
      </c>
      <c r="C19" s="2"/>
      <c r="D19" s="2"/>
      <c r="E19" s="2"/>
      <c r="F19" s="2"/>
      <c r="G19" s="2"/>
      <c r="H19" s="2"/>
    </row>
    <row r="20" spans="1:8">
      <c r="A20" s="2" t="s">
        <v>27</v>
      </c>
      <c r="B20" s="2" t="s">
        <v>28</v>
      </c>
      <c r="C20" s="2"/>
      <c r="D20" s="2"/>
      <c r="E20" s="2"/>
      <c r="F20" s="2"/>
      <c r="G20" s="2"/>
      <c r="H20" s="2"/>
    </row>
    <row r="21" spans="1:8">
      <c r="A21" s="2" t="s">
        <v>29</v>
      </c>
      <c r="B21" s="2" t="s">
        <v>30</v>
      </c>
      <c r="C21" s="2"/>
      <c r="D21" s="2"/>
      <c r="E21" s="2"/>
      <c r="F21" s="2"/>
      <c r="G21" s="2"/>
      <c r="H21" s="2"/>
    </row>
    <row r="22" spans="1:8">
      <c r="A22" s="2" t="s">
        <v>31</v>
      </c>
      <c r="B22" s="2" t="s">
        <v>32</v>
      </c>
      <c r="C22" s="2"/>
      <c r="D22" s="2"/>
      <c r="E22" s="2"/>
      <c r="F22" s="2"/>
      <c r="G22" s="2"/>
      <c r="H22" s="2"/>
    </row>
    <row r="23" spans="1:8">
      <c r="A23" s="2" t="s">
        <v>33</v>
      </c>
      <c r="B23" s="2" t="s">
        <v>34</v>
      </c>
      <c r="C23" s="2"/>
      <c r="D23" s="2"/>
      <c r="E23" s="2"/>
      <c r="F23" s="2"/>
      <c r="G23" s="2"/>
      <c r="H23" s="2"/>
    </row>
    <row r="24" spans="1:8">
      <c r="A24" s="2" t="s">
        <v>35</v>
      </c>
      <c r="B24" s="2" t="s">
        <v>36</v>
      </c>
      <c r="C24" s="2"/>
      <c r="D24" s="2"/>
      <c r="E24" s="2"/>
      <c r="F24" s="2"/>
      <c r="G24" s="2"/>
      <c r="H24" s="2"/>
    </row>
    <row r="25" spans="1:8">
      <c r="A25" s="2" t="s">
        <v>37</v>
      </c>
      <c r="B25" s="2" t="s">
        <v>38</v>
      </c>
    </row>
    <row r="26" spans="1:8" ht="15">
      <c r="A26" s="13" t="s">
        <v>39</v>
      </c>
      <c r="B26" s="13"/>
      <c r="C26" s="13"/>
      <c r="D26" s="13"/>
      <c r="E26" s="13"/>
      <c r="F26" s="13"/>
      <c r="G26" s="13"/>
      <c r="H26" s="13"/>
    </row>
    <row r="27" spans="1:8" ht="15">
      <c r="A27" s="9" t="s">
        <v>12</v>
      </c>
      <c r="B27" s="2">
        <v>30</v>
      </c>
      <c r="C27" s="2"/>
      <c r="D27" s="9" t="s">
        <v>40</v>
      </c>
      <c r="E27" s="2">
        <v>26</v>
      </c>
      <c r="F27" s="2"/>
      <c r="G27" s="9" t="s">
        <v>41</v>
      </c>
      <c r="H27" s="2" t="s">
        <v>42</v>
      </c>
    </row>
    <row r="28" spans="1:8" ht="15">
      <c r="A28" s="9" t="s">
        <v>43</v>
      </c>
      <c r="B28" s="2">
        <v>29</v>
      </c>
      <c r="C28" s="2"/>
      <c r="D28" s="9" t="s">
        <v>44</v>
      </c>
      <c r="E28" s="2">
        <v>3</v>
      </c>
      <c r="F28" s="2"/>
      <c r="G28" s="9" t="s">
        <v>45</v>
      </c>
      <c r="H28" s="2" t="s">
        <v>5</v>
      </c>
    </row>
    <row r="29" spans="1:8" ht="15">
      <c r="A29" s="9" t="s">
        <v>46</v>
      </c>
      <c r="B29" s="2">
        <v>1</v>
      </c>
      <c r="C29" s="2"/>
      <c r="D29" s="9" t="s">
        <v>47</v>
      </c>
      <c r="E29" s="2">
        <v>1</v>
      </c>
      <c r="F29" s="2"/>
      <c r="G29" s="9" t="s">
        <v>48</v>
      </c>
      <c r="H29" s="2" t="s">
        <v>49</v>
      </c>
    </row>
    <row r="30" spans="1:8">
      <c r="A30" s="2"/>
      <c r="B30" s="2"/>
      <c r="C30" s="2"/>
      <c r="D30" s="2"/>
      <c r="E30" s="2"/>
      <c r="F30" s="2"/>
      <c r="G30" s="2"/>
      <c r="H30" s="2"/>
    </row>
    <row r="31" spans="1:8">
      <c r="A31" s="14" t="s">
        <v>50</v>
      </c>
      <c r="B31" s="14"/>
      <c r="C31" s="14"/>
      <c r="D31" s="14"/>
      <c r="E31" s="14"/>
      <c r="F31" s="14"/>
      <c r="G31" s="14"/>
      <c r="H31" s="14"/>
    </row>
    <row r="32" spans="1:8">
      <c r="A32" s="14"/>
      <c r="B32" s="14"/>
      <c r="C32" s="14"/>
      <c r="D32" s="14"/>
      <c r="E32" s="14"/>
      <c r="F32" s="14"/>
      <c r="G32" s="14"/>
      <c r="H32" s="14"/>
    </row>
  </sheetData>
  <mergeCells count="5">
    <mergeCell ref="A1:H1"/>
    <mergeCell ref="A11:H11"/>
    <mergeCell ref="A12:H16"/>
    <mergeCell ref="A26:H26"/>
    <mergeCell ref="A31:H32"/>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2"/>
  <sheetViews>
    <sheetView tabSelected="1" topLeftCell="F16" workbookViewId="0">
      <selection activeCell="J8" sqref="J8"/>
    </sheetView>
  </sheetViews>
  <sheetFormatPr defaultRowHeight="14.25"/>
  <cols>
    <col min="1" max="1" width="28" customWidth="1"/>
    <col min="2" max="3" width="14" customWidth="1"/>
    <col min="4" max="7" width="24" customWidth="1"/>
    <col min="8" max="10" width="12" customWidth="1"/>
    <col min="11" max="11" width="14" customWidth="1"/>
    <col min="12" max="14" width="38" customWidth="1"/>
    <col min="15" max="16" width="18" customWidth="1"/>
    <col min="17" max="20" width="16" customWidth="1"/>
    <col min="21" max="22" width="18" customWidth="1"/>
    <col min="23" max="23" width="46" customWidth="1"/>
    <col min="24" max="24" width="34" customWidth="1"/>
    <col min="25" max="25" width="14" customWidth="1"/>
  </cols>
  <sheetData>
    <row r="1" spans="1:25" ht="32.1" customHeight="1">
      <c r="A1" s="4" t="s">
        <v>51</v>
      </c>
      <c r="B1" s="4" t="s">
        <v>52</v>
      </c>
      <c r="C1" s="4" t="s">
        <v>53</v>
      </c>
      <c r="D1" s="4" t="s">
        <v>54</v>
      </c>
      <c r="E1" s="4" t="s">
        <v>55</v>
      </c>
      <c r="F1" s="4" t="s">
        <v>56</v>
      </c>
      <c r="G1" s="4" t="s">
        <v>57</v>
      </c>
      <c r="H1" s="4" t="s">
        <v>58</v>
      </c>
      <c r="I1" s="4" t="s">
        <v>59</v>
      </c>
      <c r="J1" s="4" t="s">
        <v>60</v>
      </c>
      <c r="K1" s="4" t="s">
        <v>61</v>
      </c>
      <c r="L1" s="4" t="s">
        <v>62</v>
      </c>
      <c r="M1" s="4" t="s">
        <v>63</v>
      </c>
      <c r="N1" s="4" t="s">
        <v>64</v>
      </c>
      <c r="O1" s="4" t="s">
        <v>65</v>
      </c>
      <c r="P1" s="4" t="s">
        <v>66</v>
      </c>
      <c r="Q1" s="4" t="s">
        <v>67</v>
      </c>
      <c r="R1" s="4" t="s">
        <v>68</v>
      </c>
      <c r="S1" s="4" t="s">
        <v>69</v>
      </c>
      <c r="T1" s="4" t="s">
        <v>70</v>
      </c>
      <c r="U1" s="4" t="s">
        <v>71</v>
      </c>
      <c r="V1" s="4" t="s">
        <v>72</v>
      </c>
      <c r="W1" s="4" t="s">
        <v>73</v>
      </c>
      <c r="X1" s="4" t="s">
        <v>74</v>
      </c>
      <c r="Y1" s="4" t="s">
        <v>75</v>
      </c>
    </row>
    <row r="2" spans="1:25" ht="28.5">
      <c r="A2" s="2" t="s">
        <v>76</v>
      </c>
      <c r="B2" s="2" t="s">
        <v>77</v>
      </c>
      <c r="C2" s="2" t="s">
        <v>78</v>
      </c>
      <c r="D2" s="2" t="s">
        <v>79</v>
      </c>
      <c r="E2" s="2" t="s">
        <v>79</v>
      </c>
      <c r="F2" s="2" t="s">
        <v>80</v>
      </c>
      <c r="G2" s="2" t="s">
        <v>81</v>
      </c>
      <c r="H2" s="2" t="s">
        <v>82</v>
      </c>
      <c r="I2" s="2" t="s">
        <v>83</v>
      </c>
      <c r="J2" s="2" t="s">
        <v>84</v>
      </c>
      <c r="K2" s="3" t="b">
        <v>1</v>
      </c>
      <c r="L2" s="2" t="s">
        <v>85</v>
      </c>
      <c r="M2" s="2"/>
      <c r="N2" s="2" t="s">
        <v>85</v>
      </c>
      <c r="O2" s="5">
        <v>169000</v>
      </c>
      <c r="P2" s="2" t="s">
        <v>86</v>
      </c>
      <c r="Q2" s="2" t="s">
        <v>87</v>
      </c>
      <c r="R2" s="3" t="b">
        <v>1</v>
      </c>
      <c r="S2" s="2" t="b">
        <f>AND(H2="KR",K2=TRUE,O2&lt;&gt;"",IFERROR(VLOOKUP(A2,'02_Recommendation_Attrs'!$A$2:$W$100,23,FALSE),FALSE),IFERROR(VLOOKUP(A2,'05_v0.2_Benchmark'!$A$2:$AC$31,29,FALSE),FALSE))</f>
        <v>1</v>
      </c>
      <c r="T2" s="2" t="s">
        <v>88</v>
      </c>
      <c r="U2" s="2" t="s">
        <v>89</v>
      </c>
      <c r="V2" s="2" t="s">
        <v>90</v>
      </c>
      <c r="W2" s="2" t="s">
        <v>91</v>
      </c>
      <c r="X2" s="2" t="s">
        <v>92</v>
      </c>
      <c r="Y2" s="2" t="s">
        <v>5</v>
      </c>
    </row>
    <row r="3" spans="1:25" ht="42.75">
      <c r="A3" s="2" t="s">
        <v>93</v>
      </c>
      <c r="B3" s="2" t="s">
        <v>77</v>
      </c>
      <c r="C3" s="2" t="s">
        <v>78</v>
      </c>
      <c r="D3" s="2" t="s">
        <v>94</v>
      </c>
      <c r="E3" s="2" t="s">
        <v>94</v>
      </c>
      <c r="F3" s="2" t="s">
        <v>95</v>
      </c>
      <c r="G3" s="2" t="s">
        <v>96</v>
      </c>
      <c r="H3" s="2" t="s">
        <v>82</v>
      </c>
      <c r="I3" s="2" t="s">
        <v>83</v>
      </c>
      <c r="J3" s="2" t="s">
        <v>84</v>
      </c>
      <c r="K3" s="3" t="b">
        <v>1</v>
      </c>
      <c r="L3" s="2" t="s">
        <v>97</v>
      </c>
      <c r="M3" s="2"/>
      <c r="N3" s="2" t="s">
        <v>97</v>
      </c>
      <c r="O3" s="5">
        <v>189000</v>
      </c>
      <c r="P3" s="2" t="s">
        <v>98</v>
      </c>
      <c r="Q3" s="2" t="s">
        <v>87</v>
      </c>
      <c r="R3" s="3" t="b">
        <v>1</v>
      </c>
      <c r="S3" s="2" t="b">
        <f>AND(H3="KR",K3=TRUE,O3&lt;&gt;"",IFERROR(VLOOKUP(A3,'02_Recommendation_Attrs'!$A$2:$W$100,23,FALSE),FALSE),IFERROR(VLOOKUP(A3,'05_v0.2_Benchmark'!$A$2:$AC$31,29,FALSE),FALSE))</f>
        <v>1</v>
      </c>
      <c r="T3" s="2" t="s">
        <v>88</v>
      </c>
      <c r="U3" s="2" t="s">
        <v>89</v>
      </c>
      <c r="V3" s="2" t="s">
        <v>99</v>
      </c>
      <c r="W3" s="2" t="s">
        <v>100</v>
      </c>
      <c r="X3" s="2" t="s">
        <v>101</v>
      </c>
      <c r="Y3" s="2" t="s">
        <v>5</v>
      </c>
    </row>
    <row r="4" spans="1:25" ht="42.75">
      <c r="A4" s="2" t="s">
        <v>102</v>
      </c>
      <c r="B4" s="2" t="s">
        <v>77</v>
      </c>
      <c r="C4" s="2" t="s">
        <v>78</v>
      </c>
      <c r="D4" s="2" t="s">
        <v>94</v>
      </c>
      <c r="E4" s="2" t="s">
        <v>103</v>
      </c>
      <c r="F4" s="2"/>
      <c r="G4" s="2" t="s">
        <v>104</v>
      </c>
      <c r="H4" s="2" t="s">
        <v>82</v>
      </c>
      <c r="I4" s="2" t="s">
        <v>83</v>
      </c>
      <c r="J4" s="2" t="s">
        <v>84</v>
      </c>
      <c r="K4" s="3" t="b">
        <v>1</v>
      </c>
      <c r="L4" s="2" t="s">
        <v>97</v>
      </c>
      <c r="M4" s="2"/>
      <c r="N4" s="2" t="s">
        <v>97</v>
      </c>
      <c r="O4" s="5">
        <v>219000</v>
      </c>
      <c r="P4" s="2" t="s">
        <v>98</v>
      </c>
      <c r="Q4" s="2" t="s">
        <v>87</v>
      </c>
      <c r="R4" s="3" t="b">
        <v>0</v>
      </c>
      <c r="S4" s="2" t="b">
        <f>IFERROR(VLOOKUP(A4,'02_Recommendation_Attrs'!$A$2:$W$100,23,FALSE),FALSE)</f>
        <v>0</v>
      </c>
      <c r="T4" s="2" t="s">
        <v>105</v>
      </c>
      <c r="U4" s="2" t="s">
        <v>106</v>
      </c>
      <c r="V4" s="2" t="s">
        <v>99</v>
      </c>
      <c r="W4" s="2" t="s">
        <v>100</v>
      </c>
      <c r="X4" s="2" t="s">
        <v>101</v>
      </c>
      <c r="Y4" s="2" t="s">
        <v>5</v>
      </c>
    </row>
    <row r="5" spans="1:25" ht="42.75">
      <c r="A5" s="2" t="s">
        <v>107</v>
      </c>
      <c r="B5" s="2" t="s">
        <v>77</v>
      </c>
      <c r="C5" s="2" t="s">
        <v>78</v>
      </c>
      <c r="D5" s="2" t="s">
        <v>94</v>
      </c>
      <c r="E5" s="2" t="s">
        <v>108</v>
      </c>
      <c r="F5" s="2"/>
      <c r="G5" s="2" t="s">
        <v>109</v>
      </c>
      <c r="H5" s="2" t="s">
        <v>82</v>
      </c>
      <c r="I5" s="2" t="s">
        <v>83</v>
      </c>
      <c r="J5" s="2" t="s">
        <v>84</v>
      </c>
      <c r="K5" s="3" t="b">
        <v>1</v>
      </c>
      <c r="L5" s="2" t="s">
        <v>97</v>
      </c>
      <c r="M5" s="2"/>
      <c r="N5" s="2" t="s">
        <v>97</v>
      </c>
      <c r="O5" s="5">
        <v>299000</v>
      </c>
      <c r="P5" s="2" t="s">
        <v>98</v>
      </c>
      <c r="Q5" s="2" t="s">
        <v>87</v>
      </c>
      <c r="R5" s="3" t="b">
        <v>0</v>
      </c>
      <c r="S5" s="2" t="b">
        <f>IFERROR(VLOOKUP(A5,'02_Recommendation_Attrs'!$A$2:$W$100,23,FALSE),FALSE)</f>
        <v>0</v>
      </c>
      <c r="T5" s="2" t="s">
        <v>105</v>
      </c>
      <c r="U5" s="2" t="s">
        <v>106</v>
      </c>
      <c r="V5" s="2" t="s">
        <v>99</v>
      </c>
      <c r="W5" s="2" t="s">
        <v>100</v>
      </c>
      <c r="X5" s="2" t="s">
        <v>101</v>
      </c>
      <c r="Y5" s="2" t="s">
        <v>5</v>
      </c>
    </row>
    <row r="6" spans="1:25" ht="42.75">
      <c r="A6" s="2" t="s">
        <v>110</v>
      </c>
      <c r="B6" s="2" t="s">
        <v>77</v>
      </c>
      <c r="C6" s="2" t="s">
        <v>78</v>
      </c>
      <c r="D6" s="2" t="s">
        <v>111</v>
      </c>
      <c r="E6" s="2" t="s">
        <v>111</v>
      </c>
      <c r="F6" s="2" t="s">
        <v>112</v>
      </c>
      <c r="G6" s="2" t="s">
        <v>113</v>
      </c>
      <c r="H6" s="2" t="s">
        <v>82</v>
      </c>
      <c r="I6" s="2" t="s">
        <v>83</v>
      </c>
      <c r="J6" s="2" t="s">
        <v>84</v>
      </c>
      <c r="K6" s="3" t="b">
        <v>1</v>
      </c>
      <c r="L6" s="2" t="s">
        <v>114</v>
      </c>
      <c r="M6" s="2"/>
      <c r="N6" s="2" t="s">
        <v>114</v>
      </c>
      <c r="O6" s="5">
        <v>169000</v>
      </c>
      <c r="P6" s="2" t="s">
        <v>115</v>
      </c>
      <c r="Q6" s="2" t="s">
        <v>87</v>
      </c>
      <c r="R6" s="3" t="b">
        <v>1</v>
      </c>
      <c r="S6" s="2" t="b">
        <f>AND(H6="KR",K6=TRUE,O6&lt;&gt;"",IFERROR(VLOOKUP(A6,'02_Recommendation_Attrs'!$A$2:$W$100,23,FALSE),FALSE),IFERROR(VLOOKUP(A6,'05_v0.2_Benchmark'!$A$2:$AC$31,29,FALSE),FALSE))</f>
        <v>1</v>
      </c>
      <c r="T6" s="2" t="s">
        <v>88</v>
      </c>
      <c r="U6" s="2" t="s">
        <v>89</v>
      </c>
      <c r="V6" s="2" t="s">
        <v>116</v>
      </c>
      <c r="W6" s="2" t="s">
        <v>117</v>
      </c>
      <c r="X6" s="2" t="s">
        <v>101</v>
      </c>
      <c r="Y6" s="2" t="s">
        <v>5</v>
      </c>
    </row>
    <row r="7" spans="1:25" ht="42.75">
      <c r="A7" s="2" t="s">
        <v>118</v>
      </c>
      <c r="B7" s="2" t="s">
        <v>77</v>
      </c>
      <c r="C7" s="2" t="s">
        <v>78</v>
      </c>
      <c r="D7" s="2" t="s">
        <v>111</v>
      </c>
      <c r="E7" s="2" t="s">
        <v>119</v>
      </c>
      <c r="F7" s="2"/>
      <c r="G7" s="2" t="s">
        <v>120</v>
      </c>
      <c r="H7" s="2" t="s">
        <v>82</v>
      </c>
      <c r="I7" s="2" t="s">
        <v>83</v>
      </c>
      <c r="J7" s="2" t="s">
        <v>84</v>
      </c>
      <c r="K7" s="3" t="b">
        <v>1</v>
      </c>
      <c r="L7" s="2" t="s">
        <v>114</v>
      </c>
      <c r="M7" s="2"/>
      <c r="N7" s="2" t="s">
        <v>114</v>
      </c>
      <c r="O7" s="5"/>
      <c r="P7" s="2" t="s">
        <v>115</v>
      </c>
      <c r="Q7" s="2" t="s">
        <v>87</v>
      </c>
      <c r="R7" s="3" t="b">
        <v>0</v>
      </c>
      <c r="S7" s="2" t="b">
        <f>IFERROR(VLOOKUP(A7,'02_Recommendation_Attrs'!$A$2:$W$100,23,FALSE),FALSE)</f>
        <v>0</v>
      </c>
      <c r="T7" s="2" t="s">
        <v>105</v>
      </c>
      <c r="U7" s="2" t="s">
        <v>106</v>
      </c>
      <c r="V7" s="2" t="s">
        <v>116</v>
      </c>
      <c r="W7" s="2" t="s">
        <v>117</v>
      </c>
      <c r="X7" s="2" t="s">
        <v>121</v>
      </c>
      <c r="Y7" s="2" t="s">
        <v>5</v>
      </c>
    </row>
    <row r="8" spans="1:25" ht="28.5">
      <c r="A8" s="2" t="s">
        <v>122</v>
      </c>
      <c r="B8" s="2" t="s">
        <v>77</v>
      </c>
      <c r="C8" s="2" t="s">
        <v>78</v>
      </c>
      <c r="D8" s="2" t="s">
        <v>123</v>
      </c>
      <c r="E8" s="2" t="s">
        <v>123</v>
      </c>
      <c r="F8" s="2" t="s">
        <v>124</v>
      </c>
      <c r="G8" s="2" t="s">
        <v>125</v>
      </c>
      <c r="H8" s="2" t="s">
        <v>82</v>
      </c>
      <c r="I8" s="2" t="s">
        <v>83</v>
      </c>
      <c r="J8" s="2" t="s">
        <v>84</v>
      </c>
      <c r="K8" s="3" t="b">
        <v>1</v>
      </c>
      <c r="L8" s="2" t="s">
        <v>126</v>
      </c>
      <c r="M8" s="2"/>
      <c r="N8" s="2" t="s">
        <v>126</v>
      </c>
      <c r="O8" s="5"/>
      <c r="P8" s="2" t="s">
        <v>127</v>
      </c>
      <c r="Q8" s="2" t="s">
        <v>87</v>
      </c>
      <c r="R8" s="3" t="b">
        <v>0</v>
      </c>
      <c r="S8" s="2" t="b">
        <f>IFERROR(VLOOKUP(A8,'02_Recommendation_Attrs'!$A$2:$W$100,23,FALSE),FALSE)</f>
        <v>0</v>
      </c>
      <c r="T8" s="2" t="s">
        <v>105</v>
      </c>
      <c r="U8" s="2" t="s">
        <v>106</v>
      </c>
      <c r="V8" s="2" t="s">
        <v>128</v>
      </c>
      <c r="W8" s="2" t="s">
        <v>129</v>
      </c>
      <c r="X8" s="2" t="s">
        <v>130</v>
      </c>
      <c r="Y8" s="2" t="s">
        <v>5</v>
      </c>
    </row>
    <row r="9" spans="1:25" ht="28.5">
      <c r="A9" s="2" t="s">
        <v>131</v>
      </c>
      <c r="B9" s="2" t="s">
        <v>77</v>
      </c>
      <c r="C9" s="2" t="s">
        <v>78</v>
      </c>
      <c r="D9" s="2" t="s">
        <v>132</v>
      </c>
      <c r="E9" s="2" t="s">
        <v>132</v>
      </c>
      <c r="F9" s="2" t="s">
        <v>133</v>
      </c>
      <c r="G9" s="2" t="s">
        <v>134</v>
      </c>
      <c r="H9" s="2" t="s">
        <v>82</v>
      </c>
      <c r="I9" s="2" t="s">
        <v>83</v>
      </c>
      <c r="J9" s="2" t="s">
        <v>84</v>
      </c>
      <c r="K9" s="3" t="b">
        <v>1</v>
      </c>
      <c r="L9" s="2" t="s">
        <v>135</v>
      </c>
      <c r="M9" s="2"/>
      <c r="N9" s="2" t="s">
        <v>135</v>
      </c>
      <c r="O9" s="5"/>
      <c r="P9" s="2" t="s">
        <v>136</v>
      </c>
      <c r="Q9" s="2" t="s">
        <v>87</v>
      </c>
      <c r="R9" s="3" t="b">
        <v>0</v>
      </c>
      <c r="S9" s="2" t="b">
        <f>IFERROR(VLOOKUP(A9,'02_Recommendation_Attrs'!$A$2:$W$100,23,FALSE),FALSE)</f>
        <v>0</v>
      </c>
      <c r="T9" s="2" t="s">
        <v>105</v>
      </c>
      <c r="U9" s="2" t="s">
        <v>106</v>
      </c>
      <c r="V9" s="2" t="s">
        <v>137</v>
      </c>
      <c r="W9" s="2" t="s">
        <v>138</v>
      </c>
      <c r="X9" s="2" t="s">
        <v>130</v>
      </c>
      <c r="Y9" s="2" t="s">
        <v>5</v>
      </c>
    </row>
    <row r="10" spans="1:25" ht="57">
      <c r="A10" s="2" t="s">
        <v>139</v>
      </c>
      <c r="B10" s="2" t="s">
        <v>140</v>
      </c>
      <c r="C10" s="2" t="s">
        <v>141</v>
      </c>
      <c r="D10" s="2" t="s">
        <v>142</v>
      </c>
      <c r="E10" s="2" t="s">
        <v>142</v>
      </c>
      <c r="F10" s="2" t="s">
        <v>143</v>
      </c>
      <c r="G10" s="2" t="s">
        <v>144</v>
      </c>
      <c r="H10" s="2" t="s">
        <v>82</v>
      </c>
      <c r="I10" s="2" t="s">
        <v>83</v>
      </c>
      <c r="J10" s="2" t="s">
        <v>84</v>
      </c>
      <c r="K10" s="3" t="b">
        <v>1</v>
      </c>
      <c r="L10" s="2" t="s">
        <v>145</v>
      </c>
      <c r="M10" s="2"/>
      <c r="N10" s="2" t="s">
        <v>145</v>
      </c>
      <c r="O10" s="5"/>
      <c r="P10" s="2" t="s">
        <v>146</v>
      </c>
      <c r="Q10" s="2" t="s">
        <v>147</v>
      </c>
      <c r="R10" s="3" t="b">
        <v>0</v>
      </c>
      <c r="S10" s="2" t="b">
        <f>IFERROR(VLOOKUP(A10,'02_Recommendation_Attrs'!$A$2:$W$100,23,FALSE),FALSE)</f>
        <v>0</v>
      </c>
      <c r="T10" s="2" t="s">
        <v>105</v>
      </c>
      <c r="U10" s="2" t="s">
        <v>106</v>
      </c>
      <c r="V10" s="2" t="s">
        <v>148</v>
      </c>
      <c r="W10" s="2" t="s">
        <v>149</v>
      </c>
      <c r="X10" s="2" t="s">
        <v>121</v>
      </c>
      <c r="Y10" s="2" t="s">
        <v>5</v>
      </c>
    </row>
    <row r="11" spans="1:25" ht="57">
      <c r="A11" s="2" t="s">
        <v>150</v>
      </c>
      <c r="B11" s="2" t="s">
        <v>140</v>
      </c>
      <c r="C11" s="2" t="s">
        <v>141</v>
      </c>
      <c r="D11" s="2" t="s">
        <v>142</v>
      </c>
      <c r="E11" s="2" t="s">
        <v>151</v>
      </c>
      <c r="F11" s="2"/>
      <c r="G11" s="2" t="s">
        <v>152</v>
      </c>
      <c r="H11" s="2" t="s">
        <v>82</v>
      </c>
      <c r="I11" s="2" t="s">
        <v>83</v>
      </c>
      <c r="J11" s="2" t="s">
        <v>84</v>
      </c>
      <c r="K11" s="3" t="b">
        <v>1</v>
      </c>
      <c r="L11" s="2" t="s">
        <v>145</v>
      </c>
      <c r="M11" s="2"/>
      <c r="N11" s="2" t="s">
        <v>145</v>
      </c>
      <c r="O11" s="5"/>
      <c r="P11" s="2" t="s">
        <v>146</v>
      </c>
      <c r="Q11" s="2" t="s">
        <v>147</v>
      </c>
      <c r="R11" s="3" t="b">
        <v>0</v>
      </c>
      <c r="S11" s="2" t="b">
        <f>IFERROR(VLOOKUP(A11,'02_Recommendation_Attrs'!$A$2:$W$100,23,FALSE),FALSE)</f>
        <v>0</v>
      </c>
      <c r="T11" s="2" t="s">
        <v>105</v>
      </c>
      <c r="U11" s="2" t="s">
        <v>106</v>
      </c>
      <c r="V11" s="2" t="s">
        <v>148</v>
      </c>
      <c r="W11" s="2" t="s">
        <v>149</v>
      </c>
      <c r="X11" s="2" t="s">
        <v>121</v>
      </c>
      <c r="Y11" s="2" t="s">
        <v>5</v>
      </c>
    </row>
    <row r="12" spans="1:25" ht="57">
      <c r="A12" s="2" t="s">
        <v>153</v>
      </c>
      <c r="B12" s="2" t="s">
        <v>140</v>
      </c>
      <c r="C12" s="2" t="s">
        <v>141</v>
      </c>
      <c r="D12" s="2" t="s">
        <v>154</v>
      </c>
      <c r="E12" s="2" t="s">
        <v>155</v>
      </c>
      <c r="F12" s="2" t="s">
        <v>133</v>
      </c>
      <c r="G12" s="2" t="s">
        <v>156</v>
      </c>
      <c r="H12" s="2" t="s">
        <v>82</v>
      </c>
      <c r="I12" s="2" t="s">
        <v>83</v>
      </c>
      <c r="J12" s="2" t="s">
        <v>84</v>
      </c>
      <c r="K12" s="3" t="b">
        <v>1</v>
      </c>
      <c r="L12" s="2" t="s">
        <v>157</v>
      </c>
      <c r="M12" s="2"/>
      <c r="N12" s="2" t="s">
        <v>157</v>
      </c>
      <c r="O12" s="5">
        <v>159000</v>
      </c>
      <c r="P12" s="2" t="s">
        <v>158</v>
      </c>
      <c r="Q12" s="2" t="s">
        <v>87</v>
      </c>
      <c r="R12" s="3" t="b">
        <v>1</v>
      </c>
      <c r="S12" s="2" t="b">
        <f>AND(H12="KR",K12=TRUE,O12&lt;&gt;"",IFERROR(VLOOKUP(A12,'02_Recommendation_Attrs'!$A$2:$W$100,23,FALSE),FALSE),IFERROR(VLOOKUP(A12,'05_v0.2_Benchmark'!$A$2:$AC$31,29,FALSE),FALSE))</f>
        <v>1</v>
      </c>
      <c r="T12" s="2" t="s">
        <v>88</v>
      </c>
      <c r="U12" s="2" t="s">
        <v>89</v>
      </c>
      <c r="V12" s="2" t="s">
        <v>159</v>
      </c>
      <c r="W12" s="2" t="s">
        <v>160</v>
      </c>
      <c r="X12" s="2" t="s">
        <v>101</v>
      </c>
      <c r="Y12" s="2" t="s">
        <v>5</v>
      </c>
    </row>
    <row r="13" spans="1:25" ht="57">
      <c r="A13" s="2" t="s">
        <v>161</v>
      </c>
      <c r="B13" s="2" t="s">
        <v>140</v>
      </c>
      <c r="C13" s="2" t="s">
        <v>141</v>
      </c>
      <c r="D13" s="2" t="s">
        <v>154</v>
      </c>
      <c r="E13" s="2" t="s">
        <v>162</v>
      </c>
      <c r="F13" s="2"/>
      <c r="G13" s="2" t="s">
        <v>163</v>
      </c>
      <c r="H13" s="2" t="s">
        <v>82</v>
      </c>
      <c r="I13" s="2" t="s">
        <v>83</v>
      </c>
      <c r="J13" s="2" t="s">
        <v>84</v>
      </c>
      <c r="K13" s="3" t="b">
        <v>1</v>
      </c>
      <c r="L13" s="2" t="s">
        <v>157</v>
      </c>
      <c r="M13" s="2"/>
      <c r="N13" s="2" t="s">
        <v>157</v>
      </c>
      <c r="O13" s="5"/>
      <c r="P13" s="2" t="s">
        <v>158</v>
      </c>
      <c r="Q13" s="2" t="s">
        <v>87</v>
      </c>
      <c r="R13" s="3" t="b">
        <v>0</v>
      </c>
      <c r="S13" s="2" t="b">
        <f>IFERROR(VLOOKUP(A13,'02_Recommendation_Attrs'!$A$2:$W$100,23,FALSE),FALSE)</f>
        <v>0</v>
      </c>
      <c r="T13" s="2" t="s">
        <v>105</v>
      </c>
      <c r="U13" s="2" t="s">
        <v>106</v>
      </c>
      <c r="V13" s="2" t="s">
        <v>159</v>
      </c>
      <c r="W13" s="2" t="s">
        <v>160</v>
      </c>
      <c r="X13" s="2" t="s">
        <v>121</v>
      </c>
      <c r="Y13" s="2" t="s">
        <v>5</v>
      </c>
    </row>
    <row r="14" spans="1:25" ht="57">
      <c r="A14" s="2" t="s">
        <v>164</v>
      </c>
      <c r="B14" s="2" t="s">
        <v>140</v>
      </c>
      <c r="C14" s="2" t="s">
        <v>141</v>
      </c>
      <c r="D14" s="2" t="s">
        <v>165</v>
      </c>
      <c r="E14" s="2" t="s">
        <v>166</v>
      </c>
      <c r="F14" s="2" t="s">
        <v>167</v>
      </c>
      <c r="G14" s="2" t="s">
        <v>168</v>
      </c>
      <c r="H14" s="2" t="s">
        <v>82</v>
      </c>
      <c r="I14" s="2" t="s">
        <v>83</v>
      </c>
      <c r="J14" s="2" t="s">
        <v>84</v>
      </c>
      <c r="K14" s="3" t="b">
        <v>1</v>
      </c>
      <c r="L14" s="2" t="s">
        <v>169</v>
      </c>
      <c r="M14" s="2"/>
      <c r="N14" s="2" t="s">
        <v>169</v>
      </c>
      <c r="O14" s="5">
        <v>149000</v>
      </c>
      <c r="P14" s="2" t="s">
        <v>170</v>
      </c>
      <c r="Q14" s="2" t="s">
        <v>147</v>
      </c>
      <c r="R14" s="3" t="b">
        <v>1</v>
      </c>
      <c r="S14" s="2" t="b">
        <f>AND(H14="KR",K14=TRUE,O14&lt;&gt;"",IFERROR(VLOOKUP(A14,'02_Recommendation_Attrs'!$A$2:$W$100,23,FALSE),FALSE),IFERROR(VLOOKUP(A14,'05_v0.2_Benchmark'!$A$2:$AC$31,29,FALSE),FALSE))</f>
        <v>1</v>
      </c>
      <c r="T14" s="2" t="s">
        <v>88</v>
      </c>
      <c r="U14" s="2" t="s">
        <v>89</v>
      </c>
      <c r="V14" s="2" t="s">
        <v>171</v>
      </c>
      <c r="W14" s="2" t="s">
        <v>172</v>
      </c>
      <c r="X14" s="2" t="s">
        <v>101</v>
      </c>
      <c r="Y14" s="2" t="s">
        <v>5</v>
      </c>
    </row>
    <row r="15" spans="1:25" ht="57">
      <c r="A15" s="2" t="s">
        <v>173</v>
      </c>
      <c r="B15" s="2" t="s">
        <v>140</v>
      </c>
      <c r="C15" s="2" t="s">
        <v>141</v>
      </c>
      <c r="D15" s="2" t="s">
        <v>165</v>
      </c>
      <c r="E15" s="2" t="s">
        <v>174</v>
      </c>
      <c r="F15" s="2"/>
      <c r="G15" s="2" t="s">
        <v>175</v>
      </c>
      <c r="H15" s="2" t="s">
        <v>82</v>
      </c>
      <c r="I15" s="2" t="s">
        <v>83</v>
      </c>
      <c r="J15" s="2" t="s">
        <v>84</v>
      </c>
      <c r="K15" s="3" t="b">
        <v>1</v>
      </c>
      <c r="L15" s="2" t="s">
        <v>169</v>
      </c>
      <c r="M15" s="2"/>
      <c r="N15" s="2" t="s">
        <v>169</v>
      </c>
      <c r="O15" s="5">
        <v>209000</v>
      </c>
      <c r="P15" s="2" t="s">
        <v>170</v>
      </c>
      <c r="Q15" s="2" t="s">
        <v>147</v>
      </c>
      <c r="R15" s="3" t="b">
        <v>1</v>
      </c>
      <c r="S15" s="2" t="b">
        <f>AND(H15="KR",K15=TRUE,O15&lt;&gt;"",IFERROR(VLOOKUP(A15,'02_Recommendation_Attrs'!$A$2:$W$100,23,FALSE),FALSE),IFERROR(VLOOKUP(A15,'05_v0.2_Benchmark'!$A$2:$AC$31,29,FALSE),FALSE))</f>
        <v>1</v>
      </c>
      <c r="T15" s="2" t="s">
        <v>88</v>
      </c>
      <c r="U15" s="2" t="s">
        <v>89</v>
      </c>
      <c r="V15" s="2" t="s">
        <v>171</v>
      </c>
      <c r="W15" s="2" t="s">
        <v>172</v>
      </c>
      <c r="X15" s="2" t="s">
        <v>101</v>
      </c>
      <c r="Y15" s="2" t="s">
        <v>5</v>
      </c>
    </row>
    <row r="16" spans="1:25" ht="57">
      <c r="A16" s="2" t="s">
        <v>176</v>
      </c>
      <c r="B16" s="2" t="s">
        <v>140</v>
      </c>
      <c r="C16" s="2" t="s">
        <v>141</v>
      </c>
      <c r="D16" s="2" t="s">
        <v>165</v>
      </c>
      <c r="E16" s="2" t="s">
        <v>177</v>
      </c>
      <c r="F16" s="2" t="s">
        <v>178</v>
      </c>
      <c r="G16" s="2" t="s">
        <v>179</v>
      </c>
      <c r="H16" s="2" t="s">
        <v>82</v>
      </c>
      <c r="I16" s="2" t="s">
        <v>83</v>
      </c>
      <c r="J16" s="2" t="s">
        <v>84</v>
      </c>
      <c r="K16" s="3" t="b">
        <v>1</v>
      </c>
      <c r="L16" s="2" t="s">
        <v>169</v>
      </c>
      <c r="M16" s="2"/>
      <c r="N16" s="2" t="s">
        <v>169</v>
      </c>
      <c r="O16" s="5">
        <v>299000</v>
      </c>
      <c r="P16" s="2" t="s">
        <v>170</v>
      </c>
      <c r="Q16" s="2" t="s">
        <v>147</v>
      </c>
      <c r="R16" s="3" t="b">
        <v>1</v>
      </c>
      <c r="S16" s="2" t="b">
        <f>AND(H16="KR",K16=TRUE,O16&lt;&gt;"",IFERROR(VLOOKUP(A16,'02_Recommendation_Attrs'!$A$2:$W$100,23,FALSE),FALSE),IFERROR(VLOOKUP(A16,'05_v0.2_Benchmark'!$A$2:$AC$31,29,FALSE),FALSE))</f>
        <v>1</v>
      </c>
      <c r="T16" s="2" t="s">
        <v>88</v>
      </c>
      <c r="U16" s="2" t="s">
        <v>89</v>
      </c>
      <c r="V16" s="2" t="s">
        <v>171</v>
      </c>
      <c r="W16" s="2" t="s">
        <v>172</v>
      </c>
      <c r="X16" s="2" t="s">
        <v>101</v>
      </c>
      <c r="Y16" s="2" t="s">
        <v>5</v>
      </c>
    </row>
    <row r="17" spans="1:25" ht="42.75">
      <c r="A17" s="2" t="s">
        <v>180</v>
      </c>
      <c r="B17" s="2" t="s">
        <v>140</v>
      </c>
      <c r="C17" s="2" t="s">
        <v>141</v>
      </c>
      <c r="D17" s="2" t="s">
        <v>181</v>
      </c>
      <c r="E17" s="2" t="s">
        <v>182</v>
      </c>
      <c r="F17" s="2" t="s">
        <v>167</v>
      </c>
      <c r="G17" s="2" t="s">
        <v>49</v>
      </c>
      <c r="H17" s="2" t="s">
        <v>82</v>
      </c>
      <c r="I17" s="2" t="s">
        <v>83</v>
      </c>
      <c r="J17" s="2" t="s">
        <v>84</v>
      </c>
      <c r="K17" s="3" t="b">
        <v>1</v>
      </c>
      <c r="L17" s="2" t="s">
        <v>183</v>
      </c>
      <c r="M17" s="2"/>
      <c r="N17" s="2" t="s">
        <v>183</v>
      </c>
      <c r="O17" s="5">
        <v>79000</v>
      </c>
      <c r="P17" s="2" t="s">
        <v>184</v>
      </c>
      <c r="Q17" s="2" t="s">
        <v>87</v>
      </c>
      <c r="R17" s="3" t="b">
        <v>1</v>
      </c>
      <c r="S17" s="2" t="b">
        <f>AND(H17="KR",K17=TRUE,O17&lt;&gt;"",IFERROR(VLOOKUP(A17,'02_Recommendation_Attrs'!$A$2:$W$100,23,FALSE),FALSE),IFERROR(VLOOKUP(A17,'05_v0.2_Benchmark'!$A$2:$AC$31,29,FALSE),FALSE))</f>
        <v>0</v>
      </c>
      <c r="T17" s="2" t="s">
        <v>105</v>
      </c>
      <c r="U17" s="2" t="s">
        <v>89</v>
      </c>
      <c r="V17" s="2" t="s">
        <v>185</v>
      </c>
      <c r="W17" s="2" t="s">
        <v>186</v>
      </c>
      <c r="X17" s="2" t="s">
        <v>101</v>
      </c>
      <c r="Y17" s="2" t="s">
        <v>5</v>
      </c>
    </row>
    <row r="18" spans="1:25" ht="42.75">
      <c r="A18" s="2" t="s">
        <v>187</v>
      </c>
      <c r="B18" s="2" t="s">
        <v>140</v>
      </c>
      <c r="C18" s="2" t="s">
        <v>141</v>
      </c>
      <c r="D18" s="2" t="s">
        <v>181</v>
      </c>
      <c r="E18" s="2" t="s">
        <v>188</v>
      </c>
      <c r="F18" s="2" t="s">
        <v>167</v>
      </c>
      <c r="G18" s="2" t="s">
        <v>189</v>
      </c>
      <c r="H18" s="2" t="s">
        <v>82</v>
      </c>
      <c r="I18" s="2" t="s">
        <v>83</v>
      </c>
      <c r="J18" s="2" t="s">
        <v>84</v>
      </c>
      <c r="K18" s="3" t="b">
        <v>1</v>
      </c>
      <c r="L18" s="2" t="s">
        <v>183</v>
      </c>
      <c r="M18" s="2"/>
      <c r="N18" s="2" t="s">
        <v>183</v>
      </c>
      <c r="O18" s="5">
        <v>99000</v>
      </c>
      <c r="P18" s="2" t="s">
        <v>184</v>
      </c>
      <c r="Q18" s="2" t="s">
        <v>87</v>
      </c>
      <c r="R18" s="3" t="b">
        <v>0</v>
      </c>
      <c r="S18" s="2" t="b">
        <f>IFERROR(VLOOKUP(A18,'02_Recommendation_Attrs'!$A$2:$W$100,23,FALSE),FALSE)</f>
        <v>0</v>
      </c>
      <c r="T18" s="2" t="s">
        <v>105</v>
      </c>
      <c r="U18" s="2" t="s">
        <v>106</v>
      </c>
      <c r="V18" s="2" t="s">
        <v>185</v>
      </c>
      <c r="W18" s="2" t="s">
        <v>186</v>
      </c>
      <c r="X18" s="2" t="s">
        <v>101</v>
      </c>
      <c r="Y18" s="2" t="s">
        <v>5</v>
      </c>
    </row>
    <row r="19" spans="1:25" ht="42.75">
      <c r="A19" s="2" t="s">
        <v>190</v>
      </c>
      <c r="B19" s="2" t="s">
        <v>191</v>
      </c>
      <c r="C19" s="2" t="s">
        <v>192</v>
      </c>
      <c r="D19" s="2" t="s">
        <v>193</v>
      </c>
      <c r="E19" s="2" t="s">
        <v>194</v>
      </c>
      <c r="F19" s="2" t="s">
        <v>195</v>
      </c>
      <c r="G19" s="2" t="s">
        <v>196</v>
      </c>
      <c r="H19" s="2" t="s">
        <v>82</v>
      </c>
      <c r="I19" s="2" t="s">
        <v>83</v>
      </c>
      <c r="J19" s="2" t="s">
        <v>84</v>
      </c>
      <c r="K19" s="3" t="b">
        <v>1</v>
      </c>
      <c r="L19" s="2" t="s">
        <v>197</v>
      </c>
      <c r="M19" s="2"/>
      <c r="N19" s="2" t="s">
        <v>197</v>
      </c>
      <c r="O19" s="5">
        <v>209000</v>
      </c>
      <c r="P19" s="2" t="s">
        <v>198</v>
      </c>
      <c r="Q19" s="2" t="s">
        <v>147</v>
      </c>
      <c r="R19" s="3" t="b">
        <v>1</v>
      </c>
      <c r="S19" s="2" t="b">
        <f>AND(H19="KR",K19=TRUE,O19&lt;&gt;"",IFERROR(VLOOKUP(A19,'02_Recommendation_Attrs'!$A$2:$W$100,23,FALSE),FALSE),IFERROR(VLOOKUP(A19,'05_v0.2_Benchmark'!$A$2:$AC$31,29,FALSE),FALSE))</f>
        <v>1</v>
      </c>
      <c r="T19" s="2" t="s">
        <v>88</v>
      </c>
      <c r="U19" s="2" t="s">
        <v>89</v>
      </c>
      <c r="V19" s="2" t="s">
        <v>99</v>
      </c>
      <c r="W19" s="2" t="s">
        <v>199</v>
      </c>
      <c r="X19" s="2" t="s">
        <v>92</v>
      </c>
      <c r="Y19" s="2" t="s">
        <v>5</v>
      </c>
    </row>
    <row r="20" spans="1:25" ht="42.75">
      <c r="A20" s="2" t="s">
        <v>200</v>
      </c>
      <c r="B20" s="2" t="s">
        <v>191</v>
      </c>
      <c r="C20" s="2" t="s">
        <v>192</v>
      </c>
      <c r="D20" s="2" t="s">
        <v>201</v>
      </c>
      <c r="E20" s="2" t="s">
        <v>202</v>
      </c>
      <c r="F20" s="2" t="s">
        <v>195</v>
      </c>
      <c r="G20" s="2" t="s">
        <v>203</v>
      </c>
      <c r="H20" s="2" t="s">
        <v>82</v>
      </c>
      <c r="I20" s="2" t="s">
        <v>83</v>
      </c>
      <c r="J20" s="2" t="s">
        <v>84</v>
      </c>
      <c r="K20" s="3" t="b">
        <v>1</v>
      </c>
      <c r="L20" s="2" t="s">
        <v>204</v>
      </c>
      <c r="M20" s="2"/>
      <c r="N20" s="2" t="s">
        <v>204</v>
      </c>
      <c r="O20" s="5">
        <v>189000</v>
      </c>
      <c r="P20" s="2" t="s">
        <v>205</v>
      </c>
      <c r="Q20" s="2" t="s">
        <v>147</v>
      </c>
      <c r="R20" s="3" t="b">
        <v>1</v>
      </c>
      <c r="S20" s="2" t="b">
        <f>AND(H20="KR",K20=TRUE,O20&lt;&gt;"",IFERROR(VLOOKUP(A20,'02_Recommendation_Attrs'!$A$2:$W$100,23,FALSE),FALSE),IFERROR(VLOOKUP(A20,'05_v0.2_Benchmark'!$A$2:$AC$31,29,FALSE),FALSE))</f>
        <v>1</v>
      </c>
      <c r="T20" s="2" t="s">
        <v>88</v>
      </c>
      <c r="U20" s="2" t="s">
        <v>89</v>
      </c>
      <c r="V20" s="2" t="s">
        <v>206</v>
      </c>
      <c r="W20" s="2" t="s">
        <v>207</v>
      </c>
      <c r="X20" s="2" t="s">
        <v>92</v>
      </c>
      <c r="Y20" s="2" t="s">
        <v>5</v>
      </c>
    </row>
    <row r="21" spans="1:25" ht="42.75">
      <c r="A21" s="2" t="s">
        <v>208</v>
      </c>
      <c r="B21" s="2" t="s">
        <v>191</v>
      </c>
      <c r="C21" s="2" t="s">
        <v>192</v>
      </c>
      <c r="D21" s="2" t="s">
        <v>209</v>
      </c>
      <c r="E21" s="2" t="s">
        <v>210</v>
      </c>
      <c r="F21" s="2" t="s">
        <v>195</v>
      </c>
      <c r="G21" s="2" t="s">
        <v>211</v>
      </c>
      <c r="H21" s="2" t="s">
        <v>82</v>
      </c>
      <c r="I21" s="2" t="s">
        <v>83</v>
      </c>
      <c r="J21" s="2" t="s">
        <v>84</v>
      </c>
      <c r="K21" s="3" t="b">
        <v>1</v>
      </c>
      <c r="L21" s="2" t="s">
        <v>212</v>
      </c>
      <c r="M21" s="2"/>
      <c r="N21" s="2" t="s">
        <v>212</v>
      </c>
      <c r="O21" s="5">
        <v>189000</v>
      </c>
      <c r="P21" s="2" t="s">
        <v>205</v>
      </c>
      <c r="Q21" s="2" t="s">
        <v>147</v>
      </c>
      <c r="R21" s="3" t="b">
        <v>1</v>
      </c>
      <c r="S21" s="2" t="b">
        <f>AND(H21="KR",K21=TRUE,O21&lt;&gt;"",IFERROR(VLOOKUP(A21,'02_Recommendation_Attrs'!$A$2:$W$100,23,FALSE),FALSE),IFERROR(VLOOKUP(A21,'05_v0.2_Benchmark'!$A$2:$AC$31,29,FALSE),FALSE))</f>
        <v>1</v>
      </c>
      <c r="T21" s="2" t="s">
        <v>88</v>
      </c>
      <c r="U21" s="2" t="s">
        <v>89</v>
      </c>
      <c r="V21" s="2" t="s">
        <v>116</v>
      </c>
      <c r="W21" s="2" t="s">
        <v>213</v>
      </c>
      <c r="X21" s="2" t="s">
        <v>92</v>
      </c>
      <c r="Y21" s="2" t="s">
        <v>5</v>
      </c>
    </row>
    <row r="22" spans="1:25" ht="114">
      <c r="A22" s="2" t="s">
        <v>214</v>
      </c>
      <c r="B22" s="2" t="s">
        <v>191</v>
      </c>
      <c r="C22" s="2" t="s">
        <v>192</v>
      </c>
      <c r="D22" s="2" t="s">
        <v>215</v>
      </c>
      <c r="E22" s="2" t="s">
        <v>216</v>
      </c>
      <c r="F22" s="2" t="s">
        <v>217</v>
      </c>
      <c r="G22" s="2" t="s">
        <v>218</v>
      </c>
      <c r="H22" s="2" t="s">
        <v>82</v>
      </c>
      <c r="I22" s="2" t="s">
        <v>83</v>
      </c>
      <c r="J22" s="2" t="s">
        <v>84</v>
      </c>
      <c r="K22" s="3" t="b">
        <v>1</v>
      </c>
      <c r="L22" s="2" t="s">
        <v>219</v>
      </c>
      <c r="M22" s="2"/>
      <c r="N22" s="2" t="s">
        <v>219</v>
      </c>
      <c r="O22" s="5">
        <v>349000</v>
      </c>
      <c r="P22" s="2" t="s">
        <v>220</v>
      </c>
      <c r="Q22" s="2" t="s">
        <v>147</v>
      </c>
      <c r="R22" s="3" t="b">
        <v>1</v>
      </c>
      <c r="S22" s="2" t="b">
        <f>AND(H22="KR",K22=TRUE,O22&lt;&gt;"",IFERROR(VLOOKUP(A22,'02_Recommendation_Attrs'!$A$2:$W$100,23,FALSE),FALSE),IFERROR(VLOOKUP(A22,'05_v0.2_Benchmark'!$A$2:$AC$31,29,FALSE),FALSE))</f>
        <v>1</v>
      </c>
      <c r="T22" s="2" t="s">
        <v>88</v>
      </c>
      <c r="U22" s="2" t="s">
        <v>89</v>
      </c>
      <c r="V22" s="2" t="s">
        <v>137</v>
      </c>
      <c r="W22" s="2" t="s">
        <v>221</v>
      </c>
      <c r="X22" s="2" t="s">
        <v>92</v>
      </c>
      <c r="Y22" s="2" t="s">
        <v>5</v>
      </c>
    </row>
    <row r="23" spans="1:25" ht="42.75">
      <c r="A23" s="2" t="s">
        <v>222</v>
      </c>
      <c r="B23" s="2" t="s">
        <v>223</v>
      </c>
      <c r="C23" s="2" t="s">
        <v>224</v>
      </c>
      <c r="D23" s="2" t="s">
        <v>225</v>
      </c>
      <c r="E23" s="2" t="s">
        <v>225</v>
      </c>
      <c r="F23" s="2" t="s">
        <v>226</v>
      </c>
      <c r="G23" s="2" t="s">
        <v>227</v>
      </c>
      <c r="H23" s="2" t="s">
        <v>228</v>
      </c>
      <c r="I23" s="2" t="s">
        <v>229</v>
      </c>
      <c r="J23" s="2" t="s">
        <v>84</v>
      </c>
      <c r="K23" s="3" t="b">
        <v>0</v>
      </c>
      <c r="L23" s="2" t="s">
        <v>230</v>
      </c>
      <c r="M23" s="2"/>
      <c r="N23" s="2" t="s">
        <v>230</v>
      </c>
      <c r="O23" s="5">
        <v>155</v>
      </c>
      <c r="P23" s="2" t="s">
        <v>231</v>
      </c>
      <c r="Q23" s="2" t="s">
        <v>147</v>
      </c>
      <c r="R23" s="3" t="b">
        <v>0</v>
      </c>
      <c r="S23" s="2" t="b">
        <f>IFERROR(VLOOKUP(A23,'02_Recommendation_Attrs'!$A$2:$W$100,23,FALSE),FALSE)</f>
        <v>0</v>
      </c>
      <c r="T23" s="2" t="s">
        <v>105</v>
      </c>
      <c r="U23" s="2" t="s">
        <v>106</v>
      </c>
      <c r="V23" s="2" t="s">
        <v>90</v>
      </c>
      <c r="W23" s="2" t="s">
        <v>232</v>
      </c>
      <c r="X23" s="2" t="s">
        <v>233</v>
      </c>
      <c r="Y23" s="2" t="s">
        <v>5</v>
      </c>
    </row>
    <row r="24" spans="1:25" ht="42.75">
      <c r="A24" s="2" t="s">
        <v>234</v>
      </c>
      <c r="B24" s="2" t="s">
        <v>223</v>
      </c>
      <c r="C24" s="2" t="s">
        <v>224</v>
      </c>
      <c r="D24" s="2" t="s">
        <v>235</v>
      </c>
      <c r="E24" s="2" t="s">
        <v>235</v>
      </c>
      <c r="F24" s="2" t="s">
        <v>236</v>
      </c>
      <c r="G24" s="2" t="s">
        <v>237</v>
      </c>
      <c r="H24" s="2" t="s">
        <v>228</v>
      </c>
      <c r="I24" s="2" t="s">
        <v>229</v>
      </c>
      <c r="J24" s="2" t="s">
        <v>84</v>
      </c>
      <c r="K24" s="3" t="b">
        <v>0</v>
      </c>
      <c r="L24" s="2" t="s">
        <v>230</v>
      </c>
      <c r="M24" s="2"/>
      <c r="N24" s="2" t="s">
        <v>230</v>
      </c>
      <c r="O24" s="5">
        <v>175</v>
      </c>
      <c r="P24" s="2" t="s">
        <v>238</v>
      </c>
      <c r="Q24" s="2" t="s">
        <v>147</v>
      </c>
      <c r="R24" s="3" t="b">
        <v>0</v>
      </c>
      <c r="S24" s="2" t="b">
        <f>IFERROR(VLOOKUP(A24,'02_Recommendation_Attrs'!$A$2:$W$100,23,FALSE),FALSE)</f>
        <v>0</v>
      </c>
      <c r="T24" s="2" t="s">
        <v>105</v>
      </c>
      <c r="U24" s="2" t="s">
        <v>106</v>
      </c>
      <c r="V24" s="2" t="s">
        <v>239</v>
      </c>
      <c r="W24" s="2" t="s">
        <v>240</v>
      </c>
      <c r="X24" s="2" t="s">
        <v>233</v>
      </c>
      <c r="Y24" s="2" t="s">
        <v>5</v>
      </c>
    </row>
    <row r="25" spans="1:25" ht="42.75">
      <c r="A25" s="2" t="s">
        <v>241</v>
      </c>
      <c r="B25" s="2" t="s">
        <v>223</v>
      </c>
      <c r="C25" s="2" t="s">
        <v>224</v>
      </c>
      <c r="D25" s="2" t="s">
        <v>242</v>
      </c>
      <c r="E25" s="2" t="s">
        <v>242</v>
      </c>
      <c r="F25" s="2" t="s">
        <v>243</v>
      </c>
      <c r="G25" s="2" t="s">
        <v>244</v>
      </c>
      <c r="H25" s="2" t="s">
        <v>228</v>
      </c>
      <c r="I25" s="2" t="s">
        <v>229</v>
      </c>
      <c r="J25" s="2" t="s">
        <v>84</v>
      </c>
      <c r="K25" s="3" t="b">
        <v>0</v>
      </c>
      <c r="L25" s="2" t="s">
        <v>230</v>
      </c>
      <c r="M25" s="2"/>
      <c r="N25" s="2" t="s">
        <v>230</v>
      </c>
      <c r="O25" s="5">
        <v>150</v>
      </c>
      <c r="P25" s="2" t="s">
        <v>245</v>
      </c>
      <c r="Q25" s="2" t="s">
        <v>147</v>
      </c>
      <c r="R25" s="3" t="b">
        <v>0</v>
      </c>
      <c r="S25" s="2" t="b">
        <f>IFERROR(VLOOKUP(A25,'02_Recommendation_Attrs'!$A$2:$W$100,23,FALSE),FALSE)</f>
        <v>0</v>
      </c>
      <c r="T25" s="2" t="s">
        <v>105</v>
      </c>
      <c r="U25" s="2" t="s">
        <v>106</v>
      </c>
      <c r="V25" s="2" t="s">
        <v>116</v>
      </c>
      <c r="W25" s="2" t="s">
        <v>246</v>
      </c>
      <c r="X25" s="2" t="s">
        <v>233</v>
      </c>
      <c r="Y25" s="2" t="s">
        <v>5</v>
      </c>
    </row>
    <row r="26" spans="1:25" ht="42.75">
      <c r="A26" s="2" t="s">
        <v>247</v>
      </c>
      <c r="B26" s="2" t="s">
        <v>223</v>
      </c>
      <c r="C26" s="2" t="s">
        <v>224</v>
      </c>
      <c r="D26" s="2" t="s">
        <v>248</v>
      </c>
      <c r="E26" s="2" t="s">
        <v>248</v>
      </c>
      <c r="F26" s="2" t="s">
        <v>249</v>
      </c>
      <c r="G26" s="2" t="s">
        <v>250</v>
      </c>
      <c r="H26" s="2" t="s">
        <v>228</v>
      </c>
      <c r="I26" s="2" t="s">
        <v>229</v>
      </c>
      <c r="J26" s="2" t="s">
        <v>84</v>
      </c>
      <c r="K26" s="3" t="b">
        <v>0</v>
      </c>
      <c r="L26" s="2" t="s">
        <v>230</v>
      </c>
      <c r="M26" s="2"/>
      <c r="N26" s="2" t="s">
        <v>230</v>
      </c>
      <c r="O26" s="5">
        <v>145</v>
      </c>
      <c r="P26" s="2" t="s">
        <v>251</v>
      </c>
      <c r="Q26" s="2" t="s">
        <v>147</v>
      </c>
      <c r="R26" s="3" t="b">
        <v>0</v>
      </c>
      <c r="S26" s="2" t="b">
        <f>IFERROR(VLOOKUP(A26,'02_Recommendation_Attrs'!$A$2:$W$100,23,FALSE),FALSE)</f>
        <v>0</v>
      </c>
      <c r="T26" s="2" t="s">
        <v>105</v>
      </c>
      <c r="U26" s="2" t="s">
        <v>106</v>
      </c>
      <c r="V26" s="2" t="s">
        <v>128</v>
      </c>
      <c r="W26" s="2" t="s">
        <v>252</v>
      </c>
      <c r="X26" s="2" t="s">
        <v>233</v>
      </c>
      <c r="Y26" s="2" t="s">
        <v>5</v>
      </c>
    </row>
    <row r="27" spans="1:25" ht="42.75">
      <c r="A27" s="2" t="s">
        <v>253</v>
      </c>
      <c r="B27" s="2" t="s">
        <v>223</v>
      </c>
      <c r="C27" s="2" t="s">
        <v>224</v>
      </c>
      <c r="D27" s="2" t="s">
        <v>254</v>
      </c>
      <c r="E27" s="2" t="s">
        <v>254</v>
      </c>
      <c r="F27" s="2" t="s">
        <v>255</v>
      </c>
      <c r="G27" s="2" t="s">
        <v>256</v>
      </c>
      <c r="H27" s="2" t="s">
        <v>228</v>
      </c>
      <c r="I27" s="2" t="s">
        <v>229</v>
      </c>
      <c r="J27" s="2" t="s">
        <v>84</v>
      </c>
      <c r="K27" s="3" t="b">
        <v>0</v>
      </c>
      <c r="L27" s="2" t="s">
        <v>230</v>
      </c>
      <c r="M27" s="2"/>
      <c r="N27" s="2" t="s">
        <v>230</v>
      </c>
      <c r="O27" s="5">
        <v>275</v>
      </c>
      <c r="P27" s="2" t="s">
        <v>257</v>
      </c>
      <c r="Q27" s="2" t="s">
        <v>147</v>
      </c>
      <c r="R27" s="3" t="b">
        <v>0</v>
      </c>
      <c r="S27" s="2" t="b">
        <f>IFERROR(VLOOKUP(A27,'02_Recommendation_Attrs'!$A$2:$W$100,23,FALSE),FALSE)</f>
        <v>0</v>
      </c>
      <c r="T27" s="2" t="s">
        <v>105</v>
      </c>
      <c r="U27" s="2" t="s">
        <v>106</v>
      </c>
      <c r="V27" s="2" t="s">
        <v>137</v>
      </c>
      <c r="W27" s="2" t="s">
        <v>258</v>
      </c>
      <c r="X27" s="2" t="s">
        <v>233</v>
      </c>
      <c r="Y27" s="2" t="s">
        <v>5</v>
      </c>
    </row>
    <row r="28" spans="1:25" ht="28.5">
      <c r="A28" s="2" t="s">
        <v>259</v>
      </c>
      <c r="B28" s="2" t="s">
        <v>260</v>
      </c>
      <c r="C28" s="2" t="s">
        <v>261</v>
      </c>
      <c r="D28" s="2" t="s">
        <v>262</v>
      </c>
      <c r="E28" s="2" t="s">
        <v>262</v>
      </c>
      <c r="F28" s="2" t="s">
        <v>263</v>
      </c>
      <c r="G28" s="2" t="s">
        <v>264</v>
      </c>
      <c r="H28" s="2" t="s">
        <v>82</v>
      </c>
      <c r="I28" s="2" t="s">
        <v>83</v>
      </c>
      <c r="J28" s="2" t="s">
        <v>84</v>
      </c>
      <c r="K28" s="3" t="b">
        <v>1</v>
      </c>
      <c r="L28" s="2" t="s">
        <v>265</v>
      </c>
      <c r="M28" s="2"/>
      <c r="N28" s="2" t="s">
        <v>265</v>
      </c>
      <c r="O28" s="5">
        <v>199000</v>
      </c>
      <c r="P28" s="2" t="s">
        <v>266</v>
      </c>
      <c r="Q28" s="2" t="s">
        <v>147</v>
      </c>
      <c r="R28" s="3" t="b">
        <v>1</v>
      </c>
      <c r="S28" s="2" t="b">
        <f>AND(H28="KR",K28=TRUE,O28&lt;&gt;"",IFERROR(VLOOKUP(A28,'02_Recommendation_Attrs'!$A$2:$W$100,23,FALSE),FALSE),IFERROR(VLOOKUP(A28,'05_v0.2_Benchmark'!$A$2:$AC$31,29,FALSE),FALSE))</f>
        <v>1</v>
      </c>
      <c r="T28" s="2" t="s">
        <v>88</v>
      </c>
      <c r="U28" s="2" t="s">
        <v>89</v>
      </c>
      <c r="V28" s="2" t="s">
        <v>116</v>
      </c>
      <c r="W28" s="2" t="s">
        <v>267</v>
      </c>
      <c r="X28" s="2" t="s">
        <v>101</v>
      </c>
      <c r="Y28" s="2" t="s">
        <v>5</v>
      </c>
    </row>
    <row r="29" spans="1:25" ht="28.5">
      <c r="A29" s="2" t="s">
        <v>268</v>
      </c>
      <c r="B29" s="2" t="s">
        <v>260</v>
      </c>
      <c r="C29" s="2" t="s">
        <v>261</v>
      </c>
      <c r="D29" s="2" t="s">
        <v>262</v>
      </c>
      <c r="E29" s="2" t="s">
        <v>262</v>
      </c>
      <c r="F29" s="2" t="s">
        <v>269</v>
      </c>
      <c r="G29" s="2" t="s">
        <v>270</v>
      </c>
      <c r="H29" s="2" t="s">
        <v>82</v>
      </c>
      <c r="I29" s="2" t="s">
        <v>83</v>
      </c>
      <c r="J29" s="2" t="s">
        <v>271</v>
      </c>
      <c r="K29" s="3" t="b">
        <v>1</v>
      </c>
      <c r="L29" s="2" t="s">
        <v>265</v>
      </c>
      <c r="M29" s="2"/>
      <c r="N29" s="2" t="s">
        <v>265</v>
      </c>
      <c r="O29" s="5">
        <v>199000</v>
      </c>
      <c r="P29" s="2" t="s">
        <v>266</v>
      </c>
      <c r="Q29" s="2" t="s">
        <v>147</v>
      </c>
      <c r="R29" s="3" t="b">
        <v>0</v>
      </c>
      <c r="S29" s="2" t="b">
        <f>IFERROR(VLOOKUP(A29,'02_Recommendation_Attrs'!$A$2:$W$100,23,FALSE),FALSE)</f>
        <v>0</v>
      </c>
      <c r="T29" s="2" t="s">
        <v>105</v>
      </c>
      <c r="U29" s="2" t="s">
        <v>106</v>
      </c>
      <c r="V29" s="2" t="s">
        <v>116</v>
      </c>
      <c r="W29" s="2" t="s">
        <v>267</v>
      </c>
      <c r="X29" s="2" t="s">
        <v>101</v>
      </c>
      <c r="Y29" s="2" t="s">
        <v>5</v>
      </c>
    </row>
    <row r="30" spans="1:25" ht="28.5">
      <c r="A30" s="2" t="s">
        <v>272</v>
      </c>
      <c r="B30" s="2" t="s">
        <v>260</v>
      </c>
      <c r="C30" s="2" t="s">
        <v>261</v>
      </c>
      <c r="D30" s="2" t="s">
        <v>273</v>
      </c>
      <c r="E30" s="2" t="s">
        <v>273</v>
      </c>
      <c r="F30" s="2" t="s">
        <v>274</v>
      </c>
      <c r="G30" s="2" t="s">
        <v>275</v>
      </c>
      <c r="H30" s="2" t="s">
        <v>82</v>
      </c>
      <c r="I30" s="2" t="s">
        <v>83</v>
      </c>
      <c r="J30" s="2" t="s">
        <v>84</v>
      </c>
      <c r="K30" s="3" t="b">
        <v>1</v>
      </c>
      <c r="L30" s="2" t="s">
        <v>265</v>
      </c>
      <c r="M30" s="2"/>
      <c r="N30" s="2" t="s">
        <v>265</v>
      </c>
      <c r="O30" s="5">
        <v>199000</v>
      </c>
      <c r="P30" s="2" t="s">
        <v>266</v>
      </c>
      <c r="Q30" s="2" t="s">
        <v>147</v>
      </c>
      <c r="R30" s="3" t="b">
        <v>1</v>
      </c>
      <c r="S30" s="2" t="b">
        <f>AND(H30="KR",K30=TRUE,O30&lt;&gt;"",IFERROR(VLOOKUP(A30,'02_Recommendation_Attrs'!$A$2:$W$100,23,FALSE),FALSE),IFERROR(VLOOKUP(A30,'05_v0.2_Benchmark'!$A$2:$AC$31,29,FALSE),FALSE))</f>
        <v>1</v>
      </c>
      <c r="T30" s="2" t="s">
        <v>88</v>
      </c>
      <c r="U30" s="2" t="s">
        <v>89</v>
      </c>
      <c r="V30" s="2" t="s">
        <v>99</v>
      </c>
      <c r="W30" s="2" t="s">
        <v>276</v>
      </c>
      <c r="X30" s="2" t="s">
        <v>101</v>
      </c>
      <c r="Y30" s="2" t="s">
        <v>5</v>
      </c>
    </row>
    <row r="31" spans="1:25" ht="28.5">
      <c r="A31" s="2" t="s">
        <v>277</v>
      </c>
      <c r="B31" s="2" t="s">
        <v>260</v>
      </c>
      <c r="C31" s="2" t="s">
        <v>261</v>
      </c>
      <c r="D31" s="2" t="s">
        <v>278</v>
      </c>
      <c r="E31" s="2" t="s">
        <v>278</v>
      </c>
      <c r="F31" s="2" t="s">
        <v>279</v>
      </c>
      <c r="G31" s="2" t="s">
        <v>280</v>
      </c>
      <c r="H31" s="2" t="s">
        <v>82</v>
      </c>
      <c r="I31" s="2" t="s">
        <v>83</v>
      </c>
      <c r="J31" s="2" t="s">
        <v>84</v>
      </c>
      <c r="K31" s="3" t="b">
        <v>1</v>
      </c>
      <c r="L31" s="2" t="s">
        <v>265</v>
      </c>
      <c r="M31" s="2"/>
      <c r="N31" s="2" t="s">
        <v>265</v>
      </c>
      <c r="O31" s="5">
        <v>169000</v>
      </c>
      <c r="P31" s="2" t="s">
        <v>281</v>
      </c>
      <c r="Q31" s="2" t="s">
        <v>147</v>
      </c>
      <c r="R31" s="3" t="b">
        <v>1</v>
      </c>
      <c r="S31" s="2" t="b">
        <f>AND(H31="KR",K31=TRUE,O31&lt;&gt;"",IFERROR(VLOOKUP(A31,'02_Recommendation_Attrs'!$A$2:$W$100,23,FALSE),FALSE),IFERROR(VLOOKUP(A31,'05_v0.2_Benchmark'!$A$2:$AC$31,29,FALSE),FALSE))</f>
        <v>1</v>
      </c>
      <c r="T31" s="2" t="s">
        <v>88</v>
      </c>
      <c r="U31" s="2" t="s">
        <v>89</v>
      </c>
      <c r="V31" s="2" t="s">
        <v>282</v>
      </c>
      <c r="W31" s="2" t="s">
        <v>283</v>
      </c>
      <c r="X31" s="2" t="s">
        <v>101</v>
      </c>
      <c r="Y31" s="2" t="s">
        <v>5</v>
      </c>
    </row>
    <row r="32" spans="1:25" ht="57">
      <c r="A32" s="2" t="s">
        <v>284</v>
      </c>
      <c r="B32" s="2" t="s">
        <v>260</v>
      </c>
      <c r="C32" s="2" t="s">
        <v>261</v>
      </c>
      <c r="D32" s="2" t="s">
        <v>285</v>
      </c>
      <c r="E32" s="2" t="s">
        <v>285</v>
      </c>
      <c r="F32" s="2" t="s">
        <v>167</v>
      </c>
      <c r="G32" s="2" t="s">
        <v>286</v>
      </c>
      <c r="H32" s="2" t="s">
        <v>82</v>
      </c>
      <c r="I32" s="2" t="s">
        <v>83</v>
      </c>
      <c r="J32" s="2" t="s">
        <v>271</v>
      </c>
      <c r="K32" s="3" t="b">
        <v>1</v>
      </c>
      <c r="L32" s="2" t="s">
        <v>265</v>
      </c>
      <c r="M32" s="2"/>
      <c r="N32" s="2" t="s">
        <v>265</v>
      </c>
      <c r="O32" s="5">
        <v>249000</v>
      </c>
      <c r="P32" s="2" t="s">
        <v>287</v>
      </c>
      <c r="Q32" s="2" t="s">
        <v>147</v>
      </c>
      <c r="R32" s="3" t="b">
        <v>0</v>
      </c>
      <c r="S32" s="2" t="b">
        <f>IFERROR(VLOOKUP(A32,'02_Recommendation_Attrs'!$A$2:$W$100,23,FALSE),FALSE)</f>
        <v>0</v>
      </c>
      <c r="T32" s="2" t="s">
        <v>105</v>
      </c>
      <c r="U32" s="2" t="s">
        <v>106</v>
      </c>
      <c r="V32" s="2" t="s">
        <v>288</v>
      </c>
      <c r="W32" s="2" t="s">
        <v>289</v>
      </c>
      <c r="X32" s="2" t="s">
        <v>101</v>
      </c>
      <c r="Y32" s="2" t="s">
        <v>5</v>
      </c>
    </row>
    <row r="33" spans="1:25" ht="57">
      <c r="A33" s="2" t="s">
        <v>290</v>
      </c>
      <c r="B33" s="2" t="s">
        <v>260</v>
      </c>
      <c r="C33" s="2" t="s">
        <v>261</v>
      </c>
      <c r="D33" s="2" t="s">
        <v>285</v>
      </c>
      <c r="E33" s="2" t="s">
        <v>285</v>
      </c>
      <c r="F33" s="2" t="s">
        <v>133</v>
      </c>
      <c r="G33" s="2" t="s">
        <v>291</v>
      </c>
      <c r="H33" s="2" t="s">
        <v>82</v>
      </c>
      <c r="I33" s="2" t="s">
        <v>83</v>
      </c>
      <c r="J33" s="2" t="s">
        <v>84</v>
      </c>
      <c r="K33" s="3" t="b">
        <v>1</v>
      </c>
      <c r="L33" s="2" t="s">
        <v>265</v>
      </c>
      <c r="M33" s="2"/>
      <c r="N33" s="2" t="s">
        <v>265</v>
      </c>
      <c r="O33" s="5">
        <v>259000</v>
      </c>
      <c r="P33" s="2" t="s">
        <v>287</v>
      </c>
      <c r="Q33" s="2" t="s">
        <v>147</v>
      </c>
      <c r="R33" s="3" t="b">
        <v>1</v>
      </c>
      <c r="S33" s="2" t="b">
        <f>AND(H33="KR",K33=TRUE,O33&lt;&gt;"",IFERROR(VLOOKUP(A33,'02_Recommendation_Attrs'!$A$2:$W$100,23,FALSE),FALSE),IFERROR(VLOOKUP(A33,'05_v0.2_Benchmark'!$A$2:$AC$31,29,FALSE),FALSE))</f>
        <v>1</v>
      </c>
      <c r="T33" s="2" t="s">
        <v>88</v>
      </c>
      <c r="U33" s="2" t="s">
        <v>89</v>
      </c>
      <c r="V33" s="2" t="s">
        <v>288</v>
      </c>
      <c r="W33" s="2" t="s">
        <v>289</v>
      </c>
      <c r="X33" s="2" t="s">
        <v>101</v>
      </c>
      <c r="Y33" s="2" t="s">
        <v>5</v>
      </c>
    </row>
    <row r="34" spans="1:25" ht="28.5">
      <c r="A34" s="2" t="s">
        <v>292</v>
      </c>
      <c r="B34" s="2" t="s">
        <v>260</v>
      </c>
      <c r="C34" s="2" t="s">
        <v>261</v>
      </c>
      <c r="D34" s="2" t="s">
        <v>293</v>
      </c>
      <c r="E34" s="2" t="s">
        <v>294</v>
      </c>
      <c r="F34" s="2" t="s">
        <v>295</v>
      </c>
      <c r="G34" s="2" t="s">
        <v>296</v>
      </c>
      <c r="H34" s="2" t="s">
        <v>82</v>
      </c>
      <c r="I34" s="2" t="s">
        <v>83</v>
      </c>
      <c r="J34" s="2" t="s">
        <v>84</v>
      </c>
      <c r="K34" s="3" t="b">
        <v>1</v>
      </c>
      <c r="L34" s="2" t="s">
        <v>265</v>
      </c>
      <c r="M34" s="2"/>
      <c r="N34" s="2" t="s">
        <v>265</v>
      </c>
      <c r="O34" s="5">
        <v>329000</v>
      </c>
      <c r="P34" s="2" t="s">
        <v>297</v>
      </c>
      <c r="Q34" s="2" t="s">
        <v>147</v>
      </c>
      <c r="R34" s="3" t="b">
        <v>1</v>
      </c>
      <c r="S34" s="2" t="b">
        <f>AND(H34="KR",K34=TRUE,O34&lt;&gt;"",IFERROR(VLOOKUP(A34,'02_Recommendation_Attrs'!$A$2:$W$100,23,FALSE),FALSE),IFERROR(VLOOKUP(A34,'05_v0.2_Benchmark'!$A$2:$AC$31,29,FALSE),FALSE))</f>
        <v>1</v>
      </c>
      <c r="T34" s="2" t="s">
        <v>88</v>
      </c>
      <c r="U34" s="2" t="s">
        <v>89</v>
      </c>
      <c r="V34" s="2" t="s">
        <v>137</v>
      </c>
      <c r="W34" s="2" t="s">
        <v>298</v>
      </c>
      <c r="X34" s="2" t="s">
        <v>101</v>
      </c>
      <c r="Y34" s="2" t="s">
        <v>5</v>
      </c>
    </row>
    <row r="35" spans="1:25" ht="28.5">
      <c r="A35" s="2" t="s">
        <v>299</v>
      </c>
      <c r="B35" s="2" t="s">
        <v>260</v>
      </c>
      <c r="C35" s="2" t="s">
        <v>261</v>
      </c>
      <c r="D35" s="2" t="s">
        <v>293</v>
      </c>
      <c r="E35" s="2" t="s">
        <v>300</v>
      </c>
      <c r="F35" s="2" t="s">
        <v>295</v>
      </c>
      <c r="G35" s="2" t="s">
        <v>301</v>
      </c>
      <c r="H35" s="2" t="s">
        <v>82</v>
      </c>
      <c r="I35" s="2" t="s">
        <v>83</v>
      </c>
      <c r="J35" s="2" t="s">
        <v>84</v>
      </c>
      <c r="K35" s="3" t="b">
        <v>1</v>
      </c>
      <c r="L35" s="2" t="s">
        <v>265</v>
      </c>
      <c r="M35" s="2"/>
      <c r="N35" s="2" t="s">
        <v>265</v>
      </c>
      <c r="O35" s="5">
        <v>329000</v>
      </c>
      <c r="P35" s="2" t="s">
        <v>297</v>
      </c>
      <c r="Q35" s="2" t="s">
        <v>147</v>
      </c>
      <c r="R35" s="3" t="b">
        <v>0</v>
      </c>
      <c r="S35" s="2" t="b">
        <f>IFERROR(VLOOKUP(A35,'02_Recommendation_Attrs'!$A$2:$W$100,23,FALSE),FALSE)</f>
        <v>0</v>
      </c>
      <c r="T35" s="2" t="s">
        <v>105</v>
      </c>
      <c r="U35" s="2" t="s">
        <v>106</v>
      </c>
      <c r="V35" s="2" t="s">
        <v>137</v>
      </c>
      <c r="W35" s="2" t="s">
        <v>298</v>
      </c>
      <c r="X35" s="2" t="s">
        <v>101</v>
      </c>
      <c r="Y35" s="2" t="s">
        <v>5</v>
      </c>
    </row>
    <row r="36" spans="1:25" ht="42.75">
      <c r="A36" s="2" t="s">
        <v>302</v>
      </c>
      <c r="B36" s="2" t="s">
        <v>260</v>
      </c>
      <c r="C36" s="2" t="s">
        <v>261</v>
      </c>
      <c r="D36" s="2" t="s">
        <v>303</v>
      </c>
      <c r="E36" s="2" t="s">
        <v>303</v>
      </c>
      <c r="F36" s="2" t="s">
        <v>279</v>
      </c>
      <c r="G36" s="2" t="s">
        <v>304</v>
      </c>
      <c r="H36" s="2" t="s">
        <v>82</v>
      </c>
      <c r="I36" s="2" t="s">
        <v>83</v>
      </c>
      <c r="J36" s="2" t="s">
        <v>84</v>
      </c>
      <c r="K36" s="3" t="b">
        <v>1</v>
      </c>
      <c r="L36" s="2" t="s">
        <v>265</v>
      </c>
      <c r="M36" s="2"/>
      <c r="N36" s="2" t="s">
        <v>265</v>
      </c>
      <c r="O36" s="5">
        <v>209000</v>
      </c>
      <c r="P36" s="2" t="s">
        <v>305</v>
      </c>
      <c r="Q36" s="2" t="s">
        <v>147</v>
      </c>
      <c r="R36" s="3" t="b">
        <v>1</v>
      </c>
      <c r="S36" s="2" t="b">
        <f>AND(H36="KR",K36=TRUE,O36&lt;&gt;"",IFERROR(VLOOKUP(A36,'02_Recommendation_Attrs'!$A$2:$W$100,23,FALSE),FALSE),IFERROR(VLOOKUP(A36,'05_v0.2_Benchmark'!$A$2:$AC$31,29,FALSE),FALSE))</f>
        <v>1</v>
      </c>
      <c r="T36" s="2" t="s">
        <v>88</v>
      </c>
      <c r="U36" s="2" t="s">
        <v>89</v>
      </c>
      <c r="V36" s="2" t="s">
        <v>128</v>
      </c>
      <c r="W36" s="2" t="s">
        <v>306</v>
      </c>
      <c r="X36" s="2" t="s">
        <v>101</v>
      </c>
      <c r="Y36" s="2" t="s">
        <v>5</v>
      </c>
    </row>
    <row r="37" spans="1:25" ht="42.75">
      <c r="A37" s="2" t="s">
        <v>307</v>
      </c>
      <c r="B37" s="2" t="s">
        <v>260</v>
      </c>
      <c r="C37" s="2" t="s">
        <v>261</v>
      </c>
      <c r="D37" s="2" t="s">
        <v>303</v>
      </c>
      <c r="E37" s="2" t="s">
        <v>303</v>
      </c>
      <c r="F37" s="2" t="s">
        <v>178</v>
      </c>
      <c r="G37" s="2" t="s">
        <v>308</v>
      </c>
      <c r="H37" s="2" t="s">
        <v>82</v>
      </c>
      <c r="I37" s="2" t="s">
        <v>83</v>
      </c>
      <c r="J37" s="2" t="s">
        <v>271</v>
      </c>
      <c r="K37" s="3" t="b">
        <v>1</v>
      </c>
      <c r="L37" s="2" t="s">
        <v>265</v>
      </c>
      <c r="M37" s="2"/>
      <c r="N37" s="2" t="s">
        <v>265</v>
      </c>
      <c r="O37" s="5">
        <v>199000</v>
      </c>
      <c r="P37" s="2" t="s">
        <v>305</v>
      </c>
      <c r="Q37" s="2" t="s">
        <v>147</v>
      </c>
      <c r="R37" s="3" t="b">
        <v>0</v>
      </c>
      <c r="S37" s="2" t="b">
        <f>IFERROR(VLOOKUP(A37,'02_Recommendation_Attrs'!$A$2:$W$100,23,FALSE),FALSE)</f>
        <v>0</v>
      </c>
      <c r="T37" s="2" t="s">
        <v>105</v>
      </c>
      <c r="U37" s="2" t="s">
        <v>106</v>
      </c>
      <c r="V37" s="2" t="s">
        <v>128</v>
      </c>
      <c r="W37" s="2" t="s">
        <v>306</v>
      </c>
      <c r="X37" s="2" t="s">
        <v>101</v>
      </c>
      <c r="Y37" s="2" t="s">
        <v>5</v>
      </c>
    </row>
    <row r="38" spans="1:25" ht="28.5">
      <c r="A38" s="2" t="s">
        <v>309</v>
      </c>
      <c r="B38" s="2" t="s">
        <v>310</v>
      </c>
      <c r="C38" s="2" t="s">
        <v>311</v>
      </c>
      <c r="D38" s="2" t="s">
        <v>312</v>
      </c>
      <c r="E38" s="2" t="s">
        <v>312</v>
      </c>
      <c r="F38" s="2" t="s">
        <v>313</v>
      </c>
      <c r="G38" s="2" t="s">
        <v>314</v>
      </c>
      <c r="H38" s="2" t="s">
        <v>82</v>
      </c>
      <c r="I38" s="2" t="s">
        <v>83</v>
      </c>
      <c r="J38" s="2" t="s">
        <v>84</v>
      </c>
      <c r="K38" s="3" t="b">
        <v>1</v>
      </c>
      <c r="L38" s="2" t="s">
        <v>315</v>
      </c>
      <c r="M38" s="2"/>
      <c r="N38" s="2" t="s">
        <v>315</v>
      </c>
      <c r="O38" s="5">
        <v>179000</v>
      </c>
      <c r="P38" s="2" t="s">
        <v>316</v>
      </c>
      <c r="Q38" s="2" t="s">
        <v>147</v>
      </c>
      <c r="R38" s="3" t="b">
        <v>1</v>
      </c>
      <c r="S38" s="2" t="b">
        <f>AND(H38="KR",K38=TRUE,O38&lt;&gt;"",IFERROR(VLOOKUP(A38,'02_Recommendation_Attrs'!$A$2:$W$100,23,FALSE),FALSE),IFERROR(VLOOKUP(A38,'05_v0.2_Benchmark'!$A$2:$AC$31,29,FALSE),FALSE))</f>
        <v>1</v>
      </c>
      <c r="T38" s="2" t="s">
        <v>88</v>
      </c>
      <c r="U38" s="2" t="s">
        <v>89</v>
      </c>
      <c r="V38" s="2" t="s">
        <v>90</v>
      </c>
      <c r="W38" s="2" t="s">
        <v>317</v>
      </c>
      <c r="X38" s="2" t="s">
        <v>92</v>
      </c>
      <c r="Y38" s="2" t="s">
        <v>5</v>
      </c>
    </row>
    <row r="39" spans="1:25" ht="85.5">
      <c r="A39" s="2" t="s">
        <v>318</v>
      </c>
      <c r="B39" s="2" t="s">
        <v>310</v>
      </c>
      <c r="C39" s="2" t="s">
        <v>311</v>
      </c>
      <c r="D39" s="2" t="s">
        <v>319</v>
      </c>
      <c r="E39" s="2" t="s">
        <v>319</v>
      </c>
      <c r="F39" s="2" t="s">
        <v>320</v>
      </c>
      <c r="G39" s="2" t="s">
        <v>321</v>
      </c>
      <c r="H39" s="2" t="s">
        <v>82</v>
      </c>
      <c r="I39" s="2" t="s">
        <v>83</v>
      </c>
      <c r="J39" s="2" t="s">
        <v>84</v>
      </c>
      <c r="K39" s="3" t="b">
        <v>1</v>
      </c>
      <c r="L39" s="2" t="s">
        <v>322</v>
      </c>
      <c r="M39" s="2"/>
      <c r="N39" s="2" t="s">
        <v>322</v>
      </c>
      <c r="O39" s="5">
        <v>199000</v>
      </c>
      <c r="P39" s="2" t="s">
        <v>266</v>
      </c>
      <c r="Q39" s="2" t="s">
        <v>147</v>
      </c>
      <c r="R39" s="3" t="b">
        <v>1</v>
      </c>
      <c r="S39" s="2" t="b">
        <f>AND(H39="KR",K39=TRUE,O39&lt;&gt;"",IFERROR(VLOOKUP(A39,'02_Recommendation_Attrs'!$A$2:$W$100,23,FALSE),FALSE),IFERROR(VLOOKUP(A39,'05_v0.2_Benchmark'!$A$2:$AC$31,29,FALSE),FALSE))</f>
        <v>1</v>
      </c>
      <c r="T39" s="2" t="s">
        <v>88</v>
      </c>
      <c r="U39" s="2" t="s">
        <v>89</v>
      </c>
      <c r="V39" s="2" t="s">
        <v>99</v>
      </c>
      <c r="W39" s="2" t="s">
        <v>323</v>
      </c>
      <c r="X39" s="2" t="s">
        <v>92</v>
      </c>
      <c r="Y39" s="2" t="s">
        <v>5</v>
      </c>
    </row>
    <row r="40" spans="1:25" ht="28.5">
      <c r="A40" s="2" t="s">
        <v>324</v>
      </c>
      <c r="B40" s="2" t="s">
        <v>310</v>
      </c>
      <c r="C40" s="2" t="s">
        <v>311</v>
      </c>
      <c r="D40" s="2" t="s">
        <v>325</v>
      </c>
      <c r="E40" s="2" t="s">
        <v>325</v>
      </c>
      <c r="F40" s="2" t="s">
        <v>313</v>
      </c>
      <c r="G40" s="2" t="s">
        <v>326</v>
      </c>
      <c r="H40" s="2" t="s">
        <v>82</v>
      </c>
      <c r="I40" s="2" t="s">
        <v>83</v>
      </c>
      <c r="J40" s="2" t="s">
        <v>84</v>
      </c>
      <c r="K40" s="3" t="b">
        <v>1</v>
      </c>
      <c r="L40" s="2" t="s">
        <v>327</v>
      </c>
      <c r="M40" s="2"/>
      <c r="N40" s="2" t="s">
        <v>327</v>
      </c>
      <c r="O40" s="5">
        <v>179000</v>
      </c>
      <c r="P40" s="2" t="s">
        <v>316</v>
      </c>
      <c r="Q40" s="2" t="s">
        <v>147</v>
      </c>
      <c r="R40" s="3" t="b">
        <v>1</v>
      </c>
      <c r="S40" s="2" t="b">
        <f>AND(H40="KR",K40=TRUE,O40&lt;&gt;"",IFERROR(VLOOKUP(A40,'02_Recommendation_Attrs'!$A$2:$W$100,23,FALSE),FALSE),IFERROR(VLOOKUP(A40,'05_v0.2_Benchmark'!$A$2:$AC$31,29,FALSE),FALSE))</f>
        <v>1</v>
      </c>
      <c r="T40" s="2" t="s">
        <v>88</v>
      </c>
      <c r="U40" s="2" t="s">
        <v>89</v>
      </c>
      <c r="V40" s="2" t="s">
        <v>116</v>
      </c>
      <c r="W40" s="2" t="s">
        <v>328</v>
      </c>
      <c r="X40" s="2" t="s">
        <v>92</v>
      </c>
      <c r="Y40" s="2" t="s">
        <v>5</v>
      </c>
    </row>
    <row r="41" spans="1:25" ht="99.75">
      <c r="A41" s="2" t="s">
        <v>329</v>
      </c>
      <c r="B41" s="2" t="s">
        <v>310</v>
      </c>
      <c r="C41" s="2" t="s">
        <v>311</v>
      </c>
      <c r="D41" s="2" t="s">
        <v>330</v>
      </c>
      <c r="E41" s="2" t="s">
        <v>330</v>
      </c>
      <c r="F41" s="2" t="s">
        <v>279</v>
      </c>
      <c r="G41" s="2" t="s">
        <v>331</v>
      </c>
      <c r="H41" s="2" t="s">
        <v>82</v>
      </c>
      <c r="I41" s="2" t="s">
        <v>83</v>
      </c>
      <c r="J41" s="2" t="s">
        <v>84</v>
      </c>
      <c r="K41" s="3" t="b">
        <v>1</v>
      </c>
      <c r="L41" s="2" t="s">
        <v>332</v>
      </c>
      <c r="M41" s="2"/>
      <c r="N41" s="2" t="s">
        <v>332</v>
      </c>
      <c r="O41" s="5">
        <v>219000</v>
      </c>
      <c r="P41" s="2" t="s">
        <v>333</v>
      </c>
      <c r="Q41" s="2" t="s">
        <v>147</v>
      </c>
      <c r="R41" s="3" t="b">
        <v>1</v>
      </c>
      <c r="S41" s="2" t="b">
        <f>AND(H41="KR",K41=TRUE,O41&lt;&gt;"",IFERROR(VLOOKUP(A41,'02_Recommendation_Attrs'!$A$2:$W$100,23,FALSE),FALSE),IFERROR(VLOOKUP(A41,'05_v0.2_Benchmark'!$A$2:$AC$31,29,FALSE),FALSE))</f>
        <v>1</v>
      </c>
      <c r="T41" s="2" t="s">
        <v>88</v>
      </c>
      <c r="U41" s="2" t="s">
        <v>89</v>
      </c>
      <c r="V41" s="2" t="s">
        <v>128</v>
      </c>
      <c r="W41" s="2" t="s">
        <v>334</v>
      </c>
      <c r="X41" s="2" t="s">
        <v>92</v>
      </c>
      <c r="Y41" s="2" t="s">
        <v>5</v>
      </c>
    </row>
    <row r="42" spans="1:25" ht="28.5">
      <c r="A42" s="2" t="s">
        <v>335</v>
      </c>
      <c r="B42" s="2" t="s">
        <v>310</v>
      </c>
      <c r="C42" s="2" t="s">
        <v>311</v>
      </c>
      <c r="D42" s="2" t="s">
        <v>336</v>
      </c>
      <c r="E42" s="2" t="s">
        <v>336</v>
      </c>
      <c r="F42" s="2" t="s">
        <v>279</v>
      </c>
      <c r="G42" s="2" t="s">
        <v>337</v>
      </c>
      <c r="H42" s="2" t="s">
        <v>82</v>
      </c>
      <c r="I42" s="2" t="s">
        <v>83</v>
      </c>
      <c r="J42" s="2" t="s">
        <v>84</v>
      </c>
      <c r="K42" s="3" t="b">
        <v>1</v>
      </c>
      <c r="L42" s="2" t="s">
        <v>338</v>
      </c>
      <c r="M42" s="2"/>
      <c r="N42" s="2" t="s">
        <v>338</v>
      </c>
      <c r="O42" s="5">
        <v>299000</v>
      </c>
      <c r="P42" s="2" t="s">
        <v>339</v>
      </c>
      <c r="Q42" s="2" t="s">
        <v>147</v>
      </c>
      <c r="R42" s="3" t="b">
        <v>1</v>
      </c>
      <c r="S42" s="2" t="b">
        <f>AND(H42="KR",K42=TRUE,O42&lt;&gt;"",IFERROR(VLOOKUP(A42,'02_Recommendation_Attrs'!$A$2:$W$100,23,FALSE),FALSE),IFERROR(VLOOKUP(A42,'05_v0.2_Benchmark'!$A$2:$AC$31,29,FALSE),FALSE))</f>
        <v>1</v>
      </c>
      <c r="T42" s="2" t="s">
        <v>88</v>
      </c>
      <c r="U42" s="2" t="s">
        <v>89</v>
      </c>
      <c r="V42" s="2" t="s">
        <v>137</v>
      </c>
      <c r="W42" s="2" t="s">
        <v>340</v>
      </c>
      <c r="X42" s="2" t="s">
        <v>92</v>
      </c>
      <c r="Y42" s="2" t="s">
        <v>5</v>
      </c>
    </row>
    <row r="43" spans="1:25" ht="28.5">
      <c r="A43" s="2" t="s">
        <v>341</v>
      </c>
      <c r="B43" s="2" t="s">
        <v>342</v>
      </c>
      <c r="C43" s="2" t="s">
        <v>343</v>
      </c>
      <c r="D43" s="2" t="s">
        <v>344</v>
      </c>
      <c r="E43" s="2" t="s">
        <v>344</v>
      </c>
      <c r="F43" s="2" t="s">
        <v>345</v>
      </c>
      <c r="G43" s="2" t="s">
        <v>346</v>
      </c>
      <c r="H43" s="2" t="s">
        <v>82</v>
      </c>
      <c r="I43" s="2" t="s">
        <v>83</v>
      </c>
      <c r="J43" s="2" t="s">
        <v>84</v>
      </c>
      <c r="K43" s="3" t="b">
        <v>1</v>
      </c>
      <c r="L43" s="2" t="s">
        <v>347</v>
      </c>
      <c r="M43" s="2"/>
      <c r="N43" s="2" t="s">
        <v>347</v>
      </c>
      <c r="O43" s="5">
        <v>169000</v>
      </c>
      <c r="P43" s="2" t="s">
        <v>86</v>
      </c>
      <c r="Q43" s="2" t="s">
        <v>147</v>
      </c>
      <c r="R43" s="3" t="b">
        <v>1</v>
      </c>
      <c r="S43" s="2" t="b">
        <f>AND(H43="KR",K43=TRUE,O43&lt;&gt;"",IFERROR(VLOOKUP(A43,'02_Recommendation_Attrs'!$A$2:$W$100,23,FALSE),FALSE),IFERROR(VLOOKUP(A43,'05_v0.2_Benchmark'!$A$2:$AC$31,29,FALSE),FALSE))</f>
        <v>1</v>
      </c>
      <c r="T43" s="2" t="s">
        <v>88</v>
      </c>
      <c r="U43" s="2" t="s">
        <v>89</v>
      </c>
      <c r="V43" s="2" t="s">
        <v>90</v>
      </c>
      <c r="W43" s="2" t="s">
        <v>348</v>
      </c>
      <c r="X43" s="2" t="s">
        <v>92</v>
      </c>
      <c r="Y43" s="2" t="s">
        <v>5</v>
      </c>
    </row>
    <row r="44" spans="1:25" ht="28.5">
      <c r="A44" s="2" t="s">
        <v>349</v>
      </c>
      <c r="B44" s="2" t="s">
        <v>342</v>
      </c>
      <c r="C44" s="2" t="s">
        <v>343</v>
      </c>
      <c r="D44" s="2" t="s">
        <v>350</v>
      </c>
      <c r="E44" s="2" t="s">
        <v>350</v>
      </c>
      <c r="F44" s="2" t="s">
        <v>351</v>
      </c>
      <c r="G44" s="2" t="s">
        <v>352</v>
      </c>
      <c r="H44" s="2" t="s">
        <v>82</v>
      </c>
      <c r="I44" s="2" t="s">
        <v>83</v>
      </c>
      <c r="J44" s="2" t="s">
        <v>84</v>
      </c>
      <c r="K44" s="3" t="b">
        <v>1</v>
      </c>
      <c r="L44" s="2" t="s">
        <v>353</v>
      </c>
      <c r="M44" s="2"/>
      <c r="N44" s="2" t="s">
        <v>353</v>
      </c>
      <c r="O44" s="5">
        <v>169000</v>
      </c>
      <c r="P44" s="2" t="s">
        <v>86</v>
      </c>
      <c r="Q44" s="2" t="s">
        <v>147</v>
      </c>
      <c r="R44" s="3" t="b">
        <v>1</v>
      </c>
      <c r="S44" s="2" t="b">
        <f>AND(H44="KR",K44=TRUE,O44&lt;&gt;"",IFERROR(VLOOKUP(A44,'02_Recommendation_Attrs'!$A$2:$W$100,23,FALSE),FALSE),IFERROR(VLOOKUP(A44,'05_v0.2_Benchmark'!$A$2:$AC$31,29,FALSE),FALSE))</f>
        <v>1</v>
      </c>
      <c r="T44" s="2" t="s">
        <v>88</v>
      </c>
      <c r="U44" s="2" t="s">
        <v>89</v>
      </c>
      <c r="V44" s="2" t="s">
        <v>116</v>
      </c>
      <c r="W44" s="2" t="s">
        <v>354</v>
      </c>
      <c r="X44" s="2" t="s">
        <v>92</v>
      </c>
      <c r="Y44" s="2" t="s">
        <v>5</v>
      </c>
    </row>
    <row r="45" spans="1:25" ht="28.5">
      <c r="A45" s="2" t="s">
        <v>355</v>
      </c>
      <c r="B45" s="2" t="s">
        <v>342</v>
      </c>
      <c r="C45" s="2" t="s">
        <v>343</v>
      </c>
      <c r="D45" s="2" t="s">
        <v>356</v>
      </c>
      <c r="E45" s="2" t="s">
        <v>356</v>
      </c>
      <c r="F45" s="2" t="s">
        <v>236</v>
      </c>
      <c r="G45" s="2" t="s">
        <v>357</v>
      </c>
      <c r="H45" s="2" t="s">
        <v>82</v>
      </c>
      <c r="I45" s="2" t="s">
        <v>83</v>
      </c>
      <c r="J45" s="2" t="s">
        <v>84</v>
      </c>
      <c r="K45" s="3" t="b">
        <v>1</v>
      </c>
      <c r="L45" s="2" t="s">
        <v>358</v>
      </c>
      <c r="M45" s="2"/>
      <c r="N45" s="2" t="s">
        <v>358</v>
      </c>
      <c r="O45" s="5">
        <v>189000</v>
      </c>
      <c r="P45" s="2" t="s">
        <v>205</v>
      </c>
      <c r="Q45" s="2" t="s">
        <v>147</v>
      </c>
      <c r="R45" s="3" t="b">
        <v>0</v>
      </c>
      <c r="S45" s="2" t="b">
        <f>IFERROR(VLOOKUP(A45,'02_Recommendation_Attrs'!$A$2:$W$100,23,FALSE),FALSE)</f>
        <v>0</v>
      </c>
      <c r="T45" s="2" t="s">
        <v>105</v>
      </c>
      <c r="U45" s="2" t="s">
        <v>106</v>
      </c>
      <c r="V45" s="2" t="s">
        <v>99</v>
      </c>
      <c r="W45" s="2" t="s">
        <v>359</v>
      </c>
      <c r="X45" s="2" t="s">
        <v>92</v>
      </c>
      <c r="Y45" s="2" t="s">
        <v>5</v>
      </c>
    </row>
    <row r="46" spans="1:25" ht="28.5">
      <c r="A46" s="2" t="s">
        <v>360</v>
      </c>
      <c r="B46" s="2" t="s">
        <v>342</v>
      </c>
      <c r="C46" s="2" t="s">
        <v>343</v>
      </c>
      <c r="D46" s="2" t="s">
        <v>361</v>
      </c>
      <c r="E46" s="2" t="s">
        <v>361</v>
      </c>
      <c r="F46" s="2" t="s">
        <v>133</v>
      </c>
      <c r="G46" s="2" t="s">
        <v>362</v>
      </c>
      <c r="H46" s="2" t="s">
        <v>82</v>
      </c>
      <c r="I46" s="2" t="s">
        <v>83</v>
      </c>
      <c r="J46" s="2" t="s">
        <v>84</v>
      </c>
      <c r="K46" s="3" t="b">
        <v>1</v>
      </c>
      <c r="L46" s="2" t="s">
        <v>363</v>
      </c>
      <c r="M46" s="2"/>
      <c r="N46" s="2" t="s">
        <v>363</v>
      </c>
      <c r="O46" s="5">
        <v>199000</v>
      </c>
      <c r="P46" s="2" t="s">
        <v>266</v>
      </c>
      <c r="Q46" s="2" t="s">
        <v>147</v>
      </c>
      <c r="R46" s="3" t="b">
        <v>1</v>
      </c>
      <c r="S46" s="2" t="b">
        <f>AND(H46="KR",K46=TRUE,O46&lt;&gt;"",IFERROR(VLOOKUP(A46,'02_Recommendation_Attrs'!$A$2:$W$100,23,FALSE),FALSE),IFERROR(VLOOKUP(A46,'05_v0.2_Benchmark'!$A$2:$AC$31,29,FALSE),FALSE))</f>
        <v>1</v>
      </c>
      <c r="T46" s="2" t="s">
        <v>88</v>
      </c>
      <c r="U46" s="2" t="s">
        <v>89</v>
      </c>
      <c r="V46" s="2" t="s">
        <v>128</v>
      </c>
      <c r="W46" s="2" t="s">
        <v>364</v>
      </c>
      <c r="X46" s="2" t="s">
        <v>92</v>
      </c>
      <c r="Y46" s="2" t="s">
        <v>5</v>
      </c>
    </row>
    <row r="47" spans="1:25" ht="28.5">
      <c r="A47" s="2" t="s">
        <v>365</v>
      </c>
      <c r="B47" s="2" t="s">
        <v>342</v>
      </c>
      <c r="C47" s="2" t="s">
        <v>343</v>
      </c>
      <c r="D47" s="2" t="s">
        <v>366</v>
      </c>
      <c r="E47" s="2" t="s">
        <v>366</v>
      </c>
      <c r="F47" s="2" t="s">
        <v>133</v>
      </c>
      <c r="G47" s="2" t="s">
        <v>367</v>
      </c>
      <c r="H47" s="2" t="s">
        <v>82</v>
      </c>
      <c r="I47" s="2" t="s">
        <v>83</v>
      </c>
      <c r="J47" s="2" t="s">
        <v>84</v>
      </c>
      <c r="K47" s="3" t="b">
        <v>1</v>
      </c>
      <c r="L47" s="2" t="s">
        <v>368</v>
      </c>
      <c r="M47" s="2"/>
      <c r="N47" s="2" t="s">
        <v>368</v>
      </c>
      <c r="O47" s="5">
        <v>259000</v>
      </c>
      <c r="P47" s="2" t="s">
        <v>369</v>
      </c>
      <c r="Q47" s="2" t="s">
        <v>147</v>
      </c>
      <c r="R47" s="3" t="b">
        <v>0</v>
      </c>
      <c r="S47" s="2" t="b">
        <f>IFERROR(VLOOKUP(A47,'02_Recommendation_Attrs'!$A$2:$W$100,23,FALSE),FALSE)</f>
        <v>0</v>
      </c>
      <c r="T47" s="2" t="s">
        <v>105</v>
      </c>
      <c r="U47" s="2" t="s">
        <v>106</v>
      </c>
      <c r="V47" s="2" t="s">
        <v>137</v>
      </c>
      <c r="W47" s="2" t="s">
        <v>370</v>
      </c>
      <c r="X47" s="2" t="s">
        <v>92</v>
      </c>
      <c r="Y47" s="2" t="s">
        <v>5</v>
      </c>
    </row>
    <row r="48" spans="1:25" ht="85.5">
      <c r="A48" s="2" t="s">
        <v>371</v>
      </c>
      <c r="B48" s="2" t="s">
        <v>372</v>
      </c>
      <c r="C48" s="2" t="s">
        <v>373</v>
      </c>
      <c r="D48" s="2" t="s">
        <v>374</v>
      </c>
      <c r="E48" s="2" t="s">
        <v>374</v>
      </c>
      <c r="F48" s="2" t="s">
        <v>178</v>
      </c>
      <c r="G48" s="2" t="s">
        <v>375</v>
      </c>
      <c r="H48" s="2" t="s">
        <v>82</v>
      </c>
      <c r="I48" s="2" t="s">
        <v>83</v>
      </c>
      <c r="J48" s="2" t="s">
        <v>84</v>
      </c>
      <c r="K48" s="3" t="b">
        <v>1</v>
      </c>
      <c r="L48" s="2" t="s">
        <v>376</v>
      </c>
      <c r="M48" s="2"/>
      <c r="N48" s="2" t="s">
        <v>376</v>
      </c>
      <c r="O48" s="5">
        <v>179000</v>
      </c>
      <c r="P48" s="2" t="s">
        <v>377</v>
      </c>
      <c r="Q48" s="2" t="s">
        <v>147</v>
      </c>
      <c r="R48" s="3" t="b">
        <v>1</v>
      </c>
      <c r="S48" s="2" t="b">
        <f>AND(H48="KR",K48=TRUE,O48&lt;&gt;"",IFERROR(VLOOKUP(A48,'02_Recommendation_Attrs'!$A$2:$W$100,23,FALSE),FALSE),IFERROR(VLOOKUP(A48,'05_v0.2_Benchmark'!$A$2:$AC$31,29,FALSE),FALSE))</f>
        <v>1</v>
      </c>
      <c r="T48" s="2" t="s">
        <v>88</v>
      </c>
      <c r="U48" s="2" t="s">
        <v>89</v>
      </c>
      <c r="V48" s="2" t="s">
        <v>90</v>
      </c>
      <c r="W48" s="2" t="s">
        <v>378</v>
      </c>
      <c r="X48" s="2" t="s">
        <v>92</v>
      </c>
      <c r="Y48" s="2" t="s">
        <v>5</v>
      </c>
    </row>
    <row r="49" spans="1:25" ht="57">
      <c r="A49" s="2" t="s">
        <v>379</v>
      </c>
      <c r="B49" s="2" t="s">
        <v>372</v>
      </c>
      <c r="C49" s="2" t="s">
        <v>373</v>
      </c>
      <c r="D49" s="2" t="s">
        <v>380</v>
      </c>
      <c r="E49" s="2" t="s">
        <v>380</v>
      </c>
      <c r="F49" s="2" t="s">
        <v>167</v>
      </c>
      <c r="G49" s="2" t="s">
        <v>381</v>
      </c>
      <c r="H49" s="2" t="s">
        <v>82</v>
      </c>
      <c r="I49" s="2" t="s">
        <v>83</v>
      </c>
      <c r="J49" s="2" t="s">
        <v>84</v>
      </c>
      <c r="K49" s="3" t="b">
        <v>1</v>
      </c>
      <c r="L49" s="2" t="s">
        <v>382</v>
      </c>
      <c r="M49" s="2"/>
      <c r="N49" s="2" t="s">
        <v>382</v>
      </c>
      <c r="O49" s="5">
        <v>239000</v>
      </c>
      <c r="P49" s="2" t="s">
        <v>383</v>
      </c>
      <c r="Q49" s="2" t="s">
        <v>147</v>
      </c>
      <c r="R49" s="3" t="b">
        <v>0</v>
      </c>
      <c r="S49" s="2" t="b">
        <f>IFERROR(VLOOKUP(A49,'02_Recommendation_Attrs'!$A$2:$W$100,23,FALSE),FALSE)</f>
        <v>0</v>
      </c>
      <c r="T49" s="2" t="s">
        <v>105</v>
      </c>
      <c r="U49" s="2" t="s">
        <v>106</v>
      </c>
      <c r="V49" s="2" t="s">
        <v>99</v>
      </c>
      <c r="W49" s="2" t="s">
        <v>384</v>
      </c>
      <c r="X49" s="2" t="s">
        <v>92</v>
      </c>
      <c r="Y49" s="2" t="s">
        <v>5</v>
      </c>
    </row>
    <row r="50" spans="1:25" ht="99.75">
      <c r="A50" s="2" t="s">
        <v>385</v>
      </c>
      <c r="B50" s="2" t="s">
        <v>372</v>
      </c>
      <c r="C50" s="2" t="s">
        <v>373</v>
      </c>
      <c r="D50" s="2" t="s">
        <v>386</v>
      </c>
      <c r="E50" s="2" t="s">
        <v>387</v>
      </c>
      <c r="F50" s="2"/>
      <c r="G50" s="2" t="s">
        <v>388</v>
      </c>
      <c r="H50" s="2" t="s">
        <v>82</v>
      </c>
      <c r="I50" s="2" t="s">
        <v>83</v>
      </c>
      <c r="J50" s="2" t="s">
        <v>84</v>
      </c>
      <c r="K50" s="3" t="b">
        <v>1</v>
      </c>
      <c r="L50" s="2" t="s">
        <v>389</v>
      </c>
      <c r="M50" s="2"/>
      <c r="N50" s="2" t="s">
        <v>389</v>
      </c>
      <c r="O50" s="5">
        <v>199000</v>
      </c>
      <c r="P50" s="2" t="s">
        <v>390</v>
      </c>
      <c r="Q50" s="2" t="s">
        <v>147</v>
      </c>
      <c r="R50" s="3" t="b">
        <v>0</v>
      </c>
      <c r="S50" s="2" t="b">
        <f>IFERROR(VLOOKUP(A50,'02_Recommendation_Attrs'!$A$2:$W$100,23,FALSE),FALSE)</f>
        <v>0</v>
      </c>
      <c r="T50" s="2" t="s">
        <v>105</v>
      </c>
      <c r="U50" s="2" t="s">
        <v>106</v>
      </c>
      <c r="V50" s="2" t="s">
        <v>116</v>
      </c>
      <c r="W50" s="2" t="s">
        <v>391</v>
      </c>
      <c r="X50" s="2" t="s">
        <v>92</v>
      </c>
      <c r="Y50" s="2" t="s">
        <v>5</v>
      </c>
    </row>
    <row r="51" spans="1:25" ht="85.5">
      <c r="A51" s="2" t="s">
        <v>392</v>
      </c>
      <c r="B51" s="2" t="s">
        <v>372</v>
      </c>
      <c r="C51" s="2" t="s">
        <v>373</v>
      </c>
      <c r="D51" s="2" t="s">
        <v>393</v>
      </c>
      <c r="E51" s="2" t="s">
        <v>393</v>
      </c>
      <c r="F51" s="2" t="s">
        <v>178</v>
      </c>
      <c r="G51" s="2" t="s">
        <v>394</v>
      </c>
      <c r="H51" s="2" t="s">
        <v>82</v>
      </c>
      <c r="I51" s="2" t="s">
        <v>83</v>
      </c>
      <c r="J51" s="2" t="s">
        <v>84</v>
      </c>
      <c r="K51" s="3" t="b">
        <v>1</v>
      </c>
      <c r="L51" s="2" t="s">
        <v>395</v>
      </c>
      <c r="M51" s="2"/>
      <c r="N51" s="2" t="s">
        <v>395</v>
      </c>
      <c r="O51" s="5">
        <v>219000</v>
      </c>
      <c r="P51" s="2" t="s">
        <v>333</v>
      </c>
      <c r="Q51" s="2" t="s">
        <v>147</v>
      </c>
      <c r="R51" s="3" t="b">
        <v>1</v>
      </c>
      <c r="S51" s="2" t="b">
        <f>AND(H51="KR",K51=TRUE,O51&lt;&gt;"",IFERROR(VLOOKUP(A51,'02_Recommendation_Attrs'!$A$2:$W$100,23,FALSE),FALSE),IFERROR(VLOOKUP(A51,'05_v0.2_Benchmark'!$A$2:$AC$31,29,FALSE),FALSE))</f>
        <v>1</v>
      </c>
      <c r="T51" s="2" t="s">
        <v>88</v>
      </c>
      <c r="U51" s="2" t="s">
        <v>89</v>
      </c>
      <c r="V51" s="2" t="s">
        <v>128</v>
      </c>
      <c r="W51" s="2" t="s">
        <v>396</v>
      </c>
      <c r="X51" s="2" t="s">
        <v>92</v>
      </c>
      <c r="Y51" s="2" t="s">
        <v>5</v>
      </c>
    </row>
    <row r="52" spans="1:25" ht="85.5">
      <c r="A52" s="2" t="s">
        <v>397</v>
      </c>
      <c r="B52" s="2" t="s">
        <v>372</v>
      </c>
      <c r="C52" s="2" t="s">
        <v>373</v>
      </c>
      <c r="D52" s="2" t="s">
        <v>398</v>
      </c>
      <c r="E52" s="2" t="s">
        <v>398</v>
      </c>
      <c r="F52" s="2" t="s">
        <v>133</v>
      </c>
      <c r="G52" s="2" t="s">
        <v>399</v>
      </c>
      <c r="H52" s="2" t="s">
        <v>82</v>
      </c>
      <c r="I52" s="2" t="s">
        <v>83</v>
      </c>
      <c r="J52" s="2" t="s">
        <v>84</v>
      </c>
      <c r="K52" s="3" t="b">
        <v>1</v>
      </c>
      <c r="L52" s="2" t="s">
        <v>400</v>
      </c>
      <c r="M52" s="2"/>
      <c r="N52" s="2" t="s">
        <v>400</v>
      </c>
      <c r="O52" s="5">
        <v>379000</v>
      </c>
      <c r="P52" s="2" t="s">
        <v>401</v>
      </c>
      <c r="Q52" s="2" t="s">
        <v>147</v>
      </c>
      <c r="R52" s="3" t="b">
        <v>1</v>
      </c>
      <c r="S52" s="2" t="b">
        <f>AND(H52="KR",K52=TRUE,O52&lt;&gt;"",IFERROR(VLOOKUP(A52,'02_Recommendation_Attrs'!$A$2:$W$100,23,FALSE),FALSE),IFERROR(VLOOKUP(A52,'05_v0.2_Benchmark'!$A$2:$AC$31,29,FALSE),FALSE))</f>
        <v>1</v>
      </c>
      <c r="T52" s="2" t="s">
        <v>88</v>
      </c>
      <c r="U52" s="2" t="s">
        <v>89</v>
      </c>
      <c r="V52" s="2" t="s">
        <v>137</v>
      </c>
      <c r="W52" s="2" t="s">
        <v>402</v>
      </c>
      <c r="X52" s="2" t="s">
        <v>92</v>
      </c>
      <c r="Y52" s="2" t="s">
        <v>5</v>
      </c>
    </row>
    <row r="53" spans="1:25" ht="28.5">
      <c r="A53" s="2" t="s">
        <v>403</v>
      </c>
      <c r="B53" s="2" t="s">
        <v>404</v>
      </c>
      <c r="C53" s="2" t="s">
        <v>405</v>
      </c>
      <c r="D53" s="2" t="s">
        <v>406</v>
      </c>
      <c r="E53" s="2" t="s">
        <v>406</v>
      </c>
      <c r="F53" s="2" t="s">
        <v>133</v>
      </c>
      <c r="G53" s="2" t="s">
        <v>407</v>
      </c>
      <c r="H53" s="2" t="s">
        <v>82</v>
      </c>
      <c r="I53" s="2" t="s">
        <v>83</v>
      </c>
      <c r="J53" s="2" t="s">
        <v>84</v>
      </c>
      <c r="K53" s="3" t="b">
        <v>1</v>
      </c>
      <c r="L53" s="2" t="s">
        <v>408</v>
      </c>
      <c r="M53" s="2"/>
      <c r="N53" s="2" t="s">
        <v>408</v>
      </c>
      <c r="O53" s="5">
        <v>199000</v>
      </c>
      <c r="P53" s="2" t="s">
        <v>266</v>
      </c>
      <c r="Q53" s="2" t="s">
        <v>147</v>
      </c>
      <c r="R53" s="3" t="b">
        <v>0</v>
      </c>
      <c r="S53" s="2" t="b">
        <f>IFERROR(VLOOKUP(A53,'02_Recommendation_Attrs'!$A$2:$W$100,23,FALSE),FALSE)</f>
        <v>0</v>
      </c>
      <c r="T53" s="2" t="s">
        <v>105</v>
      </c>
      <c r="U53" s="2" t="s">
        <v>106</v>
      </c>
      <c r="V53" s="2" t="s">
        <v>159</v>
      </c>
      <c r="W53" s="2" t="s">
        <v>409</v>
      </c>
      <c r="X53" s="2" t="s">
        <v>92</v>
      </c>
      <c r="Y53" s="2" t="s">
        <v>5</v>
      </c>
    </row>
    <row r="54" spans="1:25" ht="57">
      <c r="A54" s="2" t="s">
        <v>410</v>
      </c>
      <c r="B54" s="2" t="s">
        <v>404</v>
      </c>
      <c r="C54" s="2" t="s">
        <v>405</v>
      </c>
      <c r="D54" s="2" t="s">
        <v>411</v>
      </c>
      <c r="E54" s="2" t="s">
        <v>411</v>
      </c>
      <c r="F54" s="2" t="s">
        <v>167</v>
      </c>
      <c r="G54" s="2" t="s">
        <v>412</v>
      </c>
      <c r="H54" s="2" t="s">
        <v>82</v>
      </c>
      <c r="I54" s="2" t="s">
        <v>83</v>
      </c>
      <c r="J54" s="2" t="s">
        <v>84</v>
      </c>
      <c r="K54" s="3" t="b">
        <v>1</v>
      </c>
      <c r="L54" s="2" t="s">
        <v>413</v>
      </c>
      <c r="M54" s="2"/>
      <c r="N54" s="2" t="s">
        <v>413</v>
      </c>
      <c r="O54" s="5">
        <v>199000</v>
      </c>
      <c r="P54" s="2" t="s">
        <v>266</v>
      </c>
      <c r="Q54" s="2" t="s">
        <v>147</v>
      </c>
      <c r="R54" s="3" t="b">
        <v>1</v>
      </c>
      <c r="S54" s="2" t="b">
        <f>AND(H54="KR",K54=TRUE,O54&lt;&gt;"",IFERROR(VLOOKUP(A54,'02_Recommendation_Attrs'!$A$2:$W$100,23,FALSE),FALSE),IFERROR(VLOOKUP(A54,'05_v0.2_Benchmark'!$A$2:$AC$31,29,FALSE),FALSE))</f>
        <v>1</v>
      </c>
      <c r="T54" s="2" t="s">
        <v>88</v>
      </c>
      <c r="U54" s="2" t="s">
        <v>89</v>
      </c>
      <c r="V54" s="2" t="s">
        <v>90</v>
      </c>
      <c r="W54" s="2" t="s">
        <v>414</v>
      </c>
      <c r="X54" s="2" t="s">
        <v>92</v>
      </c>
      <c r="Y54" s="2" t="s">
        <v>5</v>
      </c>
    </row>
    <row r="55" spans="1:25" ht="57">
      <c r="A55" s="2" t="s">
        <v>415</v>
      </c>
      <c r="B55" s="2" t="s">
        <v>404</v>
      </c>
      <c r="C55" s="2" t="s">
        <v>405</v>
      </c>
      <c r="D55" s="2" t="s">
        <v>416</v>
      </c>
      <c r="E55" s="2" t="s">
        <v>416</v>
      </c>
      <c r="F55" s="2" t="s">
        <v>133</v>
      </c>
      <c r="G55" s="2" t="s">
        <v>417</v>
      </c>
      <c r="H55" s="2" t="s">
        <v>82</v>
      </c>
      <c r="I55" s="2" t="s">
        <v>83</v>
      </c>
      <c r="J55" s="2" t="s">
        <v>84</v>
      </c>
      <c r="K55" s="3" t="b">
        <v>1</v>
      </c>
      <c r="L55" s="2" t="s">
        <v>418</v>
      </c>
      <c r="M55" s="2"/>
      <c r="N55" s="2" t="s">
        <v>418</v>
      </c>
      <c r="O55" s="5">
        <v>229000</v>
      </c>
      <c r="P55" s="2" t="s">
        <v>419</v>
      </c>
      <c r="Q55" s="2" t="s">
        <v>147</v>
      </c>
      <c r="R55" s="3" t="b">
        <v>0</v>
      </c>
      <c r="S55" s="2" t="b">
        <f>IFERROR(VLOOKUP(A55,'02_Recommendation_Attrs'!$A$2:$W$100,23,FALSE),FALSE)</f>
        <v>0</v>
      </c>
      <c r="T55" s="2" t="s">
        <v>105</v>
      </c>
      <c r="U55" s="2" t="s">
        <v>106</v>
      </c>
      <c r="V55" s="2" t="s">
        <v>99</v>
      </c>
      <c r="W55" s="2" t="s">
        <v>420</v>
      </c>
      <c r="X55" s="2" t="s">
        <v>92</v>
      </c>
      <c r="Y55" s="2" t="s">
        <v>5</v>
      </c>
    </row>
    <row r="56" spans="1:25" ht="42.75">
      <c r="A56" s="2" t="s">
        <v>421</v>
      </c>
      <c r="B56" s="2" t="s">
        <v>404</v>
      </c>
      <c r="C56" s="2" t="s">
        <v>405</v>
      </c>
      <c r="D56" s="2" t="s">
        <v>422</v>
      </c>
      <c r="E56" s="2" t="s">
        <v>422</v>
      </c>
      <c r="F56" s="2" t="s">
        <v>279</v>
      </c>
      <c r="G56" s="2" t="s">
        <v>423</v>
      </c>
      <c r="H56" s="2" t="s">
        <v>82</v>
      </c>
      <c r="I56" s="2" t="s">
        <v>83</v>
      </c>
      <c r="J56" s="2" t="s">
        <v>84</v>
      </c>
      <c r="K56" s="3" t="b">
        <v>1</v>
      </c>
      <c r="L56" s="2" t="s">
        <v>424</v>
      </c>
      <c r="M56" s="2"/>
      <c r="N56" s="2" t="s">
        <v>424</v>
      </c>
      <c r="O56" s="5">
        <v>219000</v>
      </c>
      <c r="P56" s="2" t="s">
        <v>333</v>
      </c>
      <c r="Q56" s="2" t="s">
        <v>147</v>
      </c>
      <c r="R56" s="3" t="b">
        <v>0</v>
      </c>
      <c r="S56" s="2" t="b">
        <f>IFERROR(VLOOKUP(A56,'02_Recommendation_Attrs'!$A$2:$W$100,23,FALSE),FALSE)</f>
        <v>0</v>
      </c>
      <c r="T56" s="2" t="s">
        <v>105</v>
      </c>
      <c r="U56" s="2" t="s">
        <v>106</v>
      </c>
      <c r="V56" s="2" t="s">
        <v>128</v>
      </c>
      <c r="W56" s="2" t="s">
        <v>425</v>
      </c>
      <c r="X56" s="2" t="s">
        <v>92</v>
      </c>
      <c r="Y56" s="2" t="s">
        <v>5</v>
      </c>
    </row>
    <row r="57" spans="1:25" ht="57">
      <c r="A57" s="2" t="s">
        <v>426</v>
      </c>
      <c r="B57" s="2" t="s">
        <v>404</v>
      </c>
      <c r="C57" s="2" t="s">
        <v>405</v>
      </c>
      <c r="D57" s="2" t="s">
        <v>427</v>
      </c>
      <c r="E57" s="2" t="s">
        <v>427</v>
      </c>
      <c r="F57" s="2"/>
      <c r="G57" s="2" t="s">
        <v>428</v>
      </c>
      <c r="H57" s="2" t="s">
        <v>82</v>
      </c>
      <c r="I57" s="2" t="s">
        <v>83</v>
      </c>
      <c r="J57" s="2" t="s">
        <v>84</v>
      </c>
      <c r="K57" s="3" t="b">
        <v>1</v>
      </c>
      <c r="L57" s="2" t="s">
        <v>429</v>
      </c>
      <c r="M57" s="2"/>
      <c r="N57" s="2" t="s">
        <v>429</v>
      </c>
      <c r="O57" s="5">
        <v>329000</v>
      </c>
      <c r="P57" s="2" t="s">
        <v>297</v>
      </c>
      <c r="Q57" s="2" t="s">
        <v>147</v>
      </c>
      <c r="R57" s="3" t="b">
        <v>0</v>
      </c>
      <c r="S57" s="2" t="b">
        <f>IFERROR(VLOOKUP(A57,'02_Recommendation_Attrs'!$A$2:$W$100,23,FALSE),FALSE)</f>
        <v>0</v>
      </c>
      <c r="T57" s="2" t="s">
        <v>105</v>
      </c>
      <c r="U57" s="2" t="s">
        <v>106</v>
      </c>
      <c r="V57" s="2" t="s">
        <v>137</v>
      </c>
      <c r="W57" s="2" t="s">
        <v>430</v>
      </c>
      <c r="X57" s="2" t="s">
        <v>92</v>
      </c>
      <c r="Y57" s="2" t="s">
        <v>5</v>
      </c>
    </row>
    <row r="58" spans="1:25" ht="42.75">
      <c r="A58" s="2" t="s">
        <v>431</v>
      </c>
      <c r="B58" s="2" t="s">
        <v>432</v>
      </c>
      <c r="C58" s="2" t="s">
        <v>433</v>
      </c>
      <c r="D58" s="2" t="s">
        <v>434</v>
      </c>
      <c r="E58" s="2" t="s">
        <v>434</v>
      </c>
      <c r="F58" s="2" t="s">
        <v>95</v>
      </c>
      <c r="G58" s="2" t="s">
        <v>435</v>
      </c>
      <c r="H58" s="2" t="s">
        <v>228</v>
      </c>
      <c r="I58" s="2" t="s">
        <v>229</v>
      </c>
      <c r="J58" s="2" t="s">
        <v>84</v>
      </c>
      <c r="K58" s="3" t="b">
        <v>0</v>
      </c>
      <c r="L58" s="2" t="s">
        <v>436</v>
      </c>
      <c r="M58" s="2"/>
      <c r="N58" s="2" t="s">
        <v>436</v>
      </c>
      <c r="O58" s="5">
        <v>150</v>
      </c>
      <c r="P58" s="2" t="s">
        <v>437</v>
      </c>
      <c r="Q58" s="2" t="s">
        <v>147</v>
      </c>
      <c r="R58" s="3" t="b">
        <v>0</v>
      </c>
      <c r="S58" s="2" t="b">
        <f>IFERROR(VLOOKUP(A58,'02_Recommendation_Attrs'!$A$2:$W$100,23,FALSE),FALSE)</f>
        <v>0</v>
      </c>
      <c r="T58" s="2" t="s">
        <v>105</v>
      </c>
      <c r="U58" s="2" t="s">
        <v>106</v>
      </c>
      <c r="V58" s="2" t="s">
        <v>90</v>
      </c>
      <c r="W58" s="2" t="s">
        <v>438</v>
      </c>
      <c r="X58" s="2" t="s">
        <v>439</v>
      </c>
      <c r="Y58" s="2" t="s">
        <v>5</v>
      </c>
    </row>
    <row r="59" spans="1:25" ht="42.75">
      <c r="A59" s="2" t="s">
        <v>440</v>
      </c>
      <c r="B59" s="2" t="s">
        <v>432</v>
      </c>
      <c r="C59" s="2" t="s">
        <v>433</v>
      </c>
      <c r="D59" s="2" t="s">
        <v>441</v>
      </c>
      <c r="E59" s="2" t="s">
        <v>441</v>
      </c>
      <c r="F59" s="2" t="s">
        <v>320</v>
      </c>
      <c r="G59" s="2" t="s">
        <v>442</v>
      </c>
      <c r="H59" s="2" t="s">
        <v>228</v>
      </c>
      <c r="I59" s="2" t="s">
        <v>229</v>
      </c>
      <c r="J59" s="2" t="s">
        <v>84</v>
      </c>
      <c r="K59" s="3" t="b">
        <v>0</v>
      </c>
      <c r="L59" s="2" t="s">
        <v>443</v>
      </c>
      <c r="M59" s="2"/>
      <c r="N59" s="2" t="s">
        <v>443</v>
      </c>
      <c r="O59" s="5">
        <v>175</v>
      </c>
      <c r="P59" s="2" t="s">
        <v>444</v>
      </c>
      <c r="Q59" s="2" t="s">
        <v>147</v>
      </c>
      <c r="R59" s="3" t="b">
        <v>0</v>
      </c>
      <c r="S59" s="2" t="b">
        <f>IFERROR(VLOOKUP(A59,'02_Recommendation_Attrs'!$A$2:$W$100,23,FALSE),FALSE)</f>
        <v>0</v>
      </c>
      <c r="T59" s="2" t="s">
        <v>105</v>
      </c>
      <c r="U59" s="2" t="s">
        <v>106</v>
      </c>
      <c r="V59" s="2" t="s">
        <v>99</v>
      </c>
      <c r="W59" s="2" t="s">
        <v>445</v>
      </c>
      <c r="X59" s="2" t="s">
        <v>439</v>
      </c>
      <c r="Y59" s="2" t="s">
        <v>5</v>
      </c>
    </row>
    <row r="60" spans="1:25" ht="42.75">
      <c r="A60" s="2" t="s">
        <v>446</v>
      </c>
      <c r="B60" s="2" t="s">
        <v>432</v>
      </c>
      <c r="C60" s="2" t="s">
        <v>433</v>
      </c>
      <c r="D60" s="2" t="s">
        <v>447</v>
      </c>
      <c r="E60" s="2" t="s">
        <v>447</v>
      </c>
      <c r="F60" s="2" t="s">
        <v>448</v>
      </c>
      <c r="G60" s="2" t="s">
        <v>449</v>
      </c>
      <c r="H60" s="2" t="s">
        <v>228</v>
      </c>
      <c r="I60" s="2" t="s">
        <v>229</v>
      </c>
      <c r="J60" s="2" t="s">
        <v>84</v>
      </c>
      <c r="K60" s="3" t="b">
        <v>0</v>
      </c>
      <c r="L60" s="2" t="s">
        <v>450</v>
      </c>
      <c r="M60" s="2"/>
      <c r="N60" s="2" t="s">
        <v>450</v>
      </c>
      <c r="O60" s="5">
        <v>155</v>
      </c>
      <c r="P60" s="2" t="s">
        <v>451</v>
      </c>
      <c r="Q60" s="2" t="s">
        <v>147</v>
      </c>
      <c r="R60" s="3" t="b">
        <v>0</v>
      </c>
      <c r="S60" s="2" t="b">
        <f>IFERROR(VLOOKUP(A60,'02_Recommendation_Attrs'!$A$2:$W$100,23,FALSE),FALSE)</f>
        <v>0</v>
      </c>
      <c r="T60" s="2" t="s">
        <v>105</v>
      </c>
      <c r="U60" s="2" t="s">
        <v>106</v>
      </c>
      <c r="V60" s="2" t="s">
        <v>116</v>
      </c>
      <c r="W60" s="2" t="s">
        <v>452</v>
      </c>
      <c r="X60" s="2" t="s">
        <v>439</v>
      </c>
      <c r="Y60" s="2" t="s">
        <v>5</v>
      </c>
    </row>
    <row r="61" spans="1:25" ht="42.75">
      <c r="A61" s="2" t="s">
        <v>453</v>
      </c>
      <c r="B61" s="2" t="s">
        <v>432</v>
      </c>
      <c r="C61" s="2" t="s">
        <v>433</v>
      </c>
      <c r="D61" s="2" t="s">
        <v>454</v>
      </c>
      <c r="E61" s="2" t="s">
        <v>454</v>
      </c>
      <c r="F61" s="2" t="s">
        <v>133</v>
      </c>
      <c r="G61" s="2" t="s">
        <v>455</v>
      </c>
      <c r="H61" s="2" t="s">
        <v>228</v>
      </c>
      <c r="I61" s="2" t="s">
        <v>229</v>
      </c>
      <c r="J61" s="2" t="s">
        <v>84</v>
      </c>
      <c r="K61" s="3" t="b">
        <v>0</v>
      </c>
      <c r="L61" s="2" t="s">
        <v>456</v>
      </c>
      <c r="M61" s="2"/>
      <c r="N61" s="2" t="s">
        <v>456</v>
      </c>
      <c r="O61" s="5">
        <v>160</v>
      </c>
      <c r="P61" s="2" t="s">
        <v>457</v>
      </c>
      <c r="Q61" s="2" t="s">
        <v>147</v>
      </c>
      <c r="R61" s="3" t="b">
        <v>0</v>
      </c>
      <c r="S61" s="2" t="b">
        <f>IFERROR(VLOOKUP(A61,'02_Recommendation_Attrs'!$A$2:$W$100,23,FALSE),FALSE)</f>
        <v>0</v>
      </c>
      <c r="T61" s="2" t="s">
        <v>105</v>
      </c>
      <c r="U61" s="2" t="s">
        <v>106</v>
      </c>
      <c r="V61" s="2" t="s">
        <v>99</v>
      </c>
      <c r="W61" s="2" t="s">
        <v>458</v>
      </c>
      <c r="X61" s="2" t="s">
        <v>439</v>
      </c>
      <c r="Y61" s="2" t="s">
        <v>5</v>
      </c>
    </row>
    <row r="62" spans="1:25" ht="42.75">
      <c r="A62" s="2" t="s">
        <v>459</v>
      </c>
      <c r="B62" s="2" t="s">
        <v>432</v>
      </c>
      <c r="C62" s="2" t="s">
        <v>433</v>
      </c>
      <c r="D62" s="2" t="s">
        <v>460</v>
      </c>
      <c r="E62" s="2" t="s">
        <v>460</v>
      </c>
      <c r="F62" s="2" t="s">
        <v>279</v>
      </c>
      <c r="G62" s="2" t="s">
        <v>461</v>
      </c>
      <c r="H62" s="2" t="s">
        <v>228</v>
      </c>
      <c r="I62" s="2" t="s">
        <v>229</v>
      </c>
      <c r="J62" s="2" t="s">
        <v>84</v>
      </c>
      <c r="K62" s="3" t="b">
        <v>0</v>
      </c>
      <c r="L62" s="2" t="s">
        <v>462</v>
      </c>
      <c r="M62" s="2"/>
      <c r="N62" s="2" t="s">
        <v>462</v>
      </c>
      <c r="O62" s="5">
        <v>275</v>
      </c>
      <c r="P62" s="2" t="s">
        <v>463</v>
      </c>
      <c r="Q62" s="2" t="s">
        <v>147</v>
      </c>
      <c r="R62" s="3" t="b">
        <v>0</v>
      </c>
      <c r="S62" s="2" t="b">
        <f>IFERROR(VLOOKUP(A62,'02_Recommendation_Attrs'!$A$2:$W$100,23,FALSE),FALSE)</f>
        <v>0</v>
      </c>
      <c r="T62" s="2" t="s">
        <v>105</v>
      </c>
      <c r="U62" s="2" t="s">
        <v>106</v>
      </c>
      <c r="V62" s="2" t="s">
        <v>137</v>
      </c>
      <c r="W62" s="2" t="s">
        <v>464</v>
      </c>
      <c r="X62" s="2" t="s">
        <v>439</v>
      </c>
      <c r="Y62" s="2" t="s">
        <v>5</v>
      </c>
    </row>
  </sheetData>
  <phoneticPr fontId="5" type="noConversion"/>
  <conditionalFormatting sqref="P2:P62">
    <cfRule type="expression" dxfId="10" priority="1">
      <formula>P2=TRUE</formula>
    </cfRule>
  </conditionalFormatting>
  <conditionalFormatting sqref="S2:S62">
    <cfRule type="expression" dxfId="9" priority="2">
      <formula>S2=TRUE</formula>
    </cfRule>
  </conditionalFormatting>
  <dataValidations count="3">
    <dataValidation type="list" sqref="K2:K200 R2:R200" xr:uid="{00000000-0002-0000-0100-000000000000}">
      <formula1>"true,false"</formula1>
    </dataValidation>
    <dataValidation type="list" sqref="J2:J200" xr:uid="{00000000-0002-0000-0100-000001000000}">
      <formula1>"CURRENT,DISCONTINUED,UNKNOWN"</formula1>
    </dataValidation>
    <dataValidation type="list" sqref="T2:T200" xr:uid="{00000000-0002-0000-0100-000003000000}">
      <formula1>"DRAFT,VERIFIED,STALE,EXCLUDED"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2"/>
  <sheetViews>
    <sheetView workbookViewId="0"/>
  </sheetViews>
  <sheetFormatPr defaultRowHeight="14.25"/>
  <cols>
    <col min="1" max="1" width="28" customWidth="1"/>
    <col min="2" max="2" width="32" customWidth="1"/>
    <col min="3" max="4" width="18" customWidth="1"/>
    <col min="5" max="9" width="13" customWidth="1"/>
    <col min="10" max="14" width="16" customWidth="1"/>
    <col min="15" max="16" width="32" customWidth="1"/>
    <col min="17" max="17" width="14" customWidth="1"/>
    <col min="18" max="19" width="32" customWidth="1"/>
    <col min="20" max="23" width="20" customWidth="1"/>
  </cols>
  <sheetData>
    <row r="1" spans="1:23" ht="32.1" customHeight="1">
      <c r="A1" s="4" t="s">
        <v>51</v>
      </c>
      <c r="B1" s="4" t="s">
        <v>57</v>
      </c>
      <c r="C1" s="4" t="s">
        <v>465</v>
      </c>
      <c r="D1" s="4" t="s">
        <v>466</v>
      </c>
      <c r="E1" s="4" t="s">
        <v>467</v>
      </c>
      <c r="F1" s="4" t="s">
        <v>468</v>
      </c>
      <c r="G1" s="4" t="s">
        <v>469</v>
      </c>
      <c r="H1" s="4" t="s">
        <v>470</v>
      </c>
      <c r="I1" s="4" t="s">
        <v>471</v>
      </c>
      <c r="J1" s="4" t="s">
        <v>472</v>
      </c>
      <c r="K1" s="4" t="s">
        <v>473</v>
      </c>
      <c r="L1" s="4" t="s">
        <v>474</v>
      </c>
      <c r="M1" s="4" t="s">
        <v>475</v>
      </c>
      <c r="N1" s="4" t="s">
        <v>476</v>
      </c>
      <c r="O1" s="4" t="s">
        <v>477</v>
      </c>
      <c r="P1" s="4" t="s">
        <v>478</v>
      </c>
      <c r="Q1" s="4" t="s">
        <v>479</v>
      </c>
      <c r="R1" s="4" t="s">
        <v>480</v>
      </c>
      <c r="S1" s="4" t="s">
        <v>481</v>
      </c>
      <c r="T1" s="4" t="s">
        <v>70</v>
      </c>
      <c r="U1" s="4" t="s">
        <v>482</v>
      </c>
      <c r="V1" s="4" t="s">
        <v>483</v>
      </c>
      <c r="W1" s="4" t="s">
        <v>484</v>
      </c>
    </row>
    <row r="2" spans="1:23" ht="28.5">
      <c r="A2" s="2" t="s">
        <v>76</v>
      </c>
      <c r="B2" s="2" t="s">
        <v>81</v>
      </c>
      <c r="C2" s="2" t="s">
        <v>485</v>
      </c>
      <c r="D2" s="2"/>
      <c r="E2" s="2">
        <f>'05_v0.2_Benchmark'!O21</f>
        <v>3</v>
      </c>
      <c r="F2" s="2">
        <f>'05_v0.2_Benchmark'!P21</f>
        <v>4</v>
      </c>
      <c r="G2" s="2">
        <f>'05_v0.2_Benchmark'!Q21</f>
        <v>3</v>
      </c>
      <c r="H2" s="2">
        <f>'05_v0.2_Benchmark'!R21</f>
        <v>282.60000000000002</v>
      </c>
      <c r="I2" s="2">
        <f>'05_v0.2_Benchmark'!S21</f>
        <v>10.7</v>
      </c>
      <c r="J2" s="2" t="str">
        <f>'05_v0.2_Benchmark'!T21</f>
        <v>NONE</v>
      </c>
      <c r="K2" s="2" t="str">
        <f>'05_v0.2_Benchmark'!U21</f>
        <v>STANDARD</v>
      </c>
      <c r="L2" s="2" t="str">
        <f>'05_v0.2_Benchmark'!V21</f>
        <v>TRUE</v>
      </c>
      <c r="M2" s="2" t="str">
        <f>'05_v0.2_Benchmark'!W21</f>
        <v>ALL</v>
      </c>
      <c r="N2" s="2" t="str">
        <f>'05_v0.2_Benchmark'!X21</f>
        <v>ALL</v>
      </c>
      <c r="O2" s="2" t="s">
        <v>486</v>
      </c>
      <c r="P2" s="2" t="s">
        <v>487</v>
      </c>
      <c r="Q2" s="2">
        <v>7</v>
      </c>
      <c r="R2" s="2" t="s">
        <v>488</v>
      </c>
      <c r="S2" s="2" t="s">
        <v>489</v>
      </c>
      <c r="T2" s="2" t="s">
        <v>88</v>
      </c>
      <c r="U2" s="2">
        <f t="shared" ref="U2:U33" si="0">COUNTBLANK(E2:I2)+IF(J2="UNKNOWN",1,0)+IF(K2="UNKNOWN",1,0)+IF(L2="UNKNOWN",1,0)+IF(M2="UNKNOWN",1,0)+IF(N2="UNKNOWN",1,0)</f>
        <v>0</v>
      </c>
      <c r="V2" s="2" t="str">
        <f>IF(U2=0,"",_xludf.TEXTJOIN(", ",TRUE,IF(E2="","cushion_score",""),IF(F2="","stability_score",""),IF(G2="","responsiveness_score",""),IF(H2="","weight_g",""),IF(I2="","drop_mm",""),IF(J2="UNKNOWN","plate_type",""),IF(K2="UNKNOWN","fit_width",""),IF(L2="UNKNOWN","wide_option",""),IF(M2="UNKNOWN","runner_level_fit",""),IF(N2="UNKNOWN","distance_fit","")))</f>
        <v/>
      </c>
      <c r="W2" s="2" t="b">
        <f t="shared" ref="W2:W33" si="1">AND(U2=0,T2="VERIFIED")</f>
        <v>1</v>
      </c>
    </row>
    <row r="3" spans="1:23" ht="28.5">
      <c r="A3" s="2" t="s">
        <v>93</v>
      </c>
      <c r="B3" s="2" t="s">
        <v>96</v>
      </c>
      <c r="C3" s="2" t="s">
        <v>490</v>
      </c>
      <c r="D3" s="2" t="s">
        <v>485</v>
      </c>
      <c r="E3" s="2">
        <f>'05_v0.2_Benchmark'!O11</f>
        <v>4</v>
      </c>
      <c r="F3" s="2">
        <f>'05_v0.2_Benchmark'!P11</f>
        <v>5</v>
      </c>
      <c r="G3" s="2">
        <f>'05_v0.2_Benchmark'!Q11</f>
        <v>3</v>
      </c>
      <c r="H3" s="2">
        <f>'05_v0.2_Benchmark'!R11</f>
        <v>297.5</v>
      </c>
      <c r="I3" s="2">
        <f>'05_v0.2_Benchmark'!S11</f>
        <v>10.3</v>
      </c>
      <c r="J3" s="2" t="str">
        <f>'05_v0.2_Benchmark'!T11</f>
        <v>NONE</v>
      </c>
      <c r="K3" s="2" t="str">
        <f>'05_v0.2_Benchmark'!U11</f>
        <v>NARROW</v>
      </c>
      <c r="L3" s="2" t="str">
        <f>'05_v0.2_Benchmark'!V11</f>
        <v>TRUE</v>
      </c>
      <c r="M3" s="2" t="str">
        <f>'05_v0.2_Benchmark'!W11</f>
        <v>ALL</v>
      </c>
      <c r="N3" s="2" t="str">
        <f>'05_v0.2_Benchmark'!X11</f>
        <v>LONG</v>
      </c>
      <c r="O3" s="2" t="s">
        <v>491</v>
      </c>
      <c r="P3" s="2" t="s">
        <v>492</v>
      </c>
      <c r="Q3" s="2">
        <v>5</v>
      </c>
      <c r="R3" s="2" t="s">
        <v>488</v>
      </c>
      <c r="S3" s="2" t="s">
        <v>489</v>
      </c>
      <c r="T3" s="2" t="s">
        <v>88</v>
      </c>
      <c r="U3" s="2">
        <f t="shared" si="0"/>
        <v>0</v>
      </c>
      <c r="V3" s="2" t="str">
        <f>IF(U3=0,"",_xludf.TEXTJOIN(", ",TRUE,IF(E3="","cushion_score",""),IF(F3="","stability_score",""),IF(G3="","responsiveness_score",""),IF(H3="","weight_g",""),IF(I3="","drop_mm",""),IF(J3="UNKNOWN","plate_type",""),IF(K3="UNKNOWN","fit_width",""),IF(L3="UNKNOWN","wide_option",""),IF(M3="UNKNOWN","runner_level_fit",""),IF(N3="UNKNOWN","distance_fit","")))</f>
        <v/>
      </c>
      <c r="W3" s="2" t="b">
        <f t="shared" si="1"/>
        <v>1</v>
      </c>
    </row>
    <row r="4" spans="1:23" ht="99.75">
      <c r="A4" s="2" t="s">
        <v>102</v>
      </c>
      <c r="B4" s="2" t="s">
        <v>104</v>
      </c>
      <c r="C4" s="2" t="s">
        <v>490</v>
      </c>
      <c r="D4" s="2" t="s">
        <v>485</v>
      </c>
      <c r="E4" s="2"/>
      <c r="F4" s="2"/>
      <c r="G4" s="2"/>
      <c r="H4" s="2"/>
      <c r="I4" s="2"/>
      <c r="J4" s="2" t="s">
        <v>271</v>
      </c>
      <c r="K4" s="2" t="s">
        <v>271</v>
      </c>
      <c r="L4" s="2" t="s">
        <v>271</v>
      </c>
      <c r="M4" s="2" t="s">
        <v>271</v>
      </c>
      <c r="N4" s="2" t="s">
        <v>490</v>
      </c>
      <c r="O4" s="2"/>
      <c r="P4" s="2"/>
      <c r="Q4" s="2">
        <v>0</v>
      </c>
      <c r="R4" s="2" t="s">
        <v>493</v>
      </c>
      <c r="S4" s="2" t="s">
        <v>494</v>
      </c>
      <c r="T4" s="2" t="s">
        <v>105</v>
      </c>
      <c r="U4" s="2">
        <f t="shared" si="0"/>
        <v>9</v>
      </c>
      <c r="V4" s="2" t="s">
        <v>495</v>
      </c>
      <c r="W4" s="2" t="b">
        <f t="shared" si="1"/>
        <v>0</v>
      </c>
    </row>
    <row r="5" spans="1:23" ht="99.75">
      <c r="A5" s="2" t="s">
        <v>107</v>
      </c>
      <c r="B5" s="2" t="s">
        <v>109</v>
      </c>
      <c r="C5" s="2" t="s">
        <v>490</v>
      </c>
      <c r="D5" s="2" t="s">
        <v>485</v>
      </c>
      <c r="E5" s="2"/>
      <c r="F5" s="2"/>
      <c r="G5" s="2"/>
      <c r="H5" s="2"/>
      <c r="I5" s="2"/>
      <c r="J5" s="2" t="s">
        <v>271</v>
      </c>
      <c r="K5" s="2" t="s">
        <v>271</v>
      </c>
      <c r="L5" s="2" t="s">
        <v>271</v>
      </c>
      <c r="M5" s="2" t="s">
        <v>271</v>
      </c>
      <c r="N5" s="2" t="s">
        <v>490</v>
      </c>
      <c r="O5" s="2" t="s">
        <v>496</v>
      </c>
      <c r="P5" s="2"/>
      <c r="Q5" s="2">
        <v>1</v>
      </c>
      <c r="R5" s="2" t="s">
        <v>497</v>
      </c>
      <c r="S5" s="2" t="s">
        <v>494</v>
      </c>
      <c r="T5" s="2" t="s">
        <v>105</v>
      </c>
      <c r="U5" s="2">
        <f t="shared" si="0"/>
        <v>9</v>
      </c>
      <c r="V5" s="2" t="s">
        <v>495</v>
      </c>
      <c r="W5" s="2" t="b">
        <f t="shared" si="1"/>
        <v>0</v>
      </c>
    </row>
    <row r="6" spans="1:23" ht="42.75">
      <c r="A6" s="2" t="s">
        <v>110</v>
      </c>
      <c r="B6" s="2" t="s">
        <v>113</v>
      </c>
      <c r="C6" s="2" t="s">
        <v>498</v>
      </c>
      <c r="D6" s="2" t="s">
        <v>485</v>
      </c>
      <c r="E6" s="2">
        <f>'05_v0.2_Benchmark'!O17</f>
        <v>3</v>
      </c>
      <c r="F6" s="2">
        <f>'05_v0.2_Benchmark'!P17</f>
        <v>5</v>
      </c>
      <c r="G6" s="2">
        <f>'05_v0.2_Benchmark'!Q17</f>
        <v>3</v>
      </c>
      <c r="H6" s="2">
        <f>'05_v0.2_Benchmark'!R17</f>
        <v>296</v>
      </c>
      <c r="I6" s="2">
        <f>'05_v0.2_Benchmark'!S17</f>
        <v>10.1</v>
      </c>
      <c r="J6" s="2" t="str">
        <f>'05_v0.2_Benchmark'!T17</f>
        <v>NONE</v>
      </c>
      <c r="K6" s="2" t="str">
        <f>'05_v0.2_Benchmark'!U17</f>
        <v>STANDARD</v>
      </c>
      <c r="L6" s="2" t="str">
        <f>'05_v0.2_Benchmark'!V17</f>
        <v>TRUE</v>
      </c>
      <c r="M6" s="2" t="str">
        <f>'05_v0.2_Benchmark'!W17</f>
        <v>ALL</v>
      </c>
      <c r="N6" s="2" t="str">
        <f>'05_v0.2_Benchmark'!X17</f>
        <v>ALL</v>
      </c>
      <c r="O6" s="2" t="s">
        <v>486</v>
      </c>
      <c r="P6" s="2" t="s">
        <v>499</v>
      </c>
      <c r="Q6" s="2">
        <v>5</v>
      </c>
      <c r="R6" s="2" t="s">
        <v>500</v>
      </c>
      <c r="S6" s="2" t="s">
        <v>489</v>
      </c>
      <c r="T6" s="2" t="s">
        <v>88</v>
      </c>
      <c r="U6" s="2">
        <f t="shared" si="0"/>
        <v>0</v>
      </c>
      <c r="V6" s="2" t="str">
        <f>IF(U6=0,"",_xludf.TEXTJOIN(", ",TRUE,IF(E6="","cushion_score",""),IF(F6="","stability_score",""),IF(G6="","responsiveness_score",""),IF(H6="","weight_g",""),IF(I6="","drop_mm",""),IF(J6="UNKNOWN","plate_type",""),IF(K6="UNKNOWN","fit_width",""),IF(L6="UNKNOWN","wide_option",""),IF(M6="UNKNOWN","runner_level_fit",""),IF(N6="UNKNOWN","distance_fit","")))</f>
        <v/>
      </c>
      <c r="W6" s="2" t="b">
        <f t="shared" si="1"/>
        <v>1</v>
      </c>
    </row>
    <row r="7" spans="1:23" ht="114">
      <c r="A7" s="2" t="s">
        <v>118</v>
      </c>
      <c r="B7" s="2" t="s">
        <v>120</v>
      </c>
      <c r="C7" s="2" t="s">
        <v>498</v>
      </c>
      <c r="D7" s="2" t="s">
        <v>485</v>
      </c>
      <c r="E7" s="2"/>
      <c r="F7" s="2"/>
      <c r="G7" s="2"/>
      <c r="H7" s="2"/>
      <c r="I7" s="2"/>
      <c r="J7" s="2" t="s">
        <v>271</v>
      </c>
      <c r="K7" s="2" t="s">
        <v>271</v>
      </c>
      <c r="L7" s="2" t="s">
        <v>271</v>
      </c>
      <c r="M7" s="2" t="s">
        <v>271</v>
      </c>
      <c r="N7" s="2" t="s">
        <v>271</v>
      </c>
      <c r="O7" s="2"/>
      <c r="P7" s="2"/>
      <c r="Q7" s="2">
        <v>0</v>
      </c>
      <c r="R7" s="2" t="s">
        <v>493</v>
      </c>
      <c r="S7" s="2" t="s">
        <v>494</v>
      </c>
      <c r="T7" s="2" t="s">
        <v>105</v>
      </c>
      <c r="U7" s="2">
        <f t="shared" si="0"/>
        <v>10</v>
      </c>
      <c r="V7" s="2" t="s">
        <v>501</v>
      </c>
      <c r="W7" s="2" t="b">
        <f t="shared" si="1"/>
        <v>0</v>
      </c>
    </row>
    <row r="8" spans="1:23" ht="99.75">
      <c r="A8" s="2" t="s">
        <v>122</v>
      </c>
      <c r="B8" s="2" t="s">
        <v>125</v>
      </c>
      <c r="C8" s="2" t="s">
        <v>502</v>
      </c>
      <c r="D8" s="2"/>
      <c r="E8" s="2"/>
      <c r="F8" s="2"/>
      <c r="G8" s="2"/>
      <c r="H8" s="2"/>
      <c r="I8" s="2"/>
      <c r="J8" s="2" t="s">
        <v>503</v>
      </c>
      <c r="K8" s="2" t="s">
        <v>271</v>
      </c>
      <c r="L8" s="2" t="s">
        <v>271</v>
      </c>
      <c r="M8" s="2" t="s">
        <v>271</v>
      </c>
      <c r="N8" s="2" t="s">
        <v>271</v>
      </c>
      <c r="O8" s="2" t="s">
        <v>504</v>
      </c>
      <c r="P8" s="2" t="s">
        <v>487</v>
      </c>
      <c r="Q8" s="2">
        <v>4</v>
      </c>
      <c r="R8" s="2" t="s">
        <v>505</v>
      </c>
      <c r="S8" s="2" t="s">
        <v>494</v>
      </c>
      <c r="T8" s="2" t="s">
        <v>105</v>
      </c>
      <c r="U8" s="2">
        <f t="shared" si="0"/>
        <v>9</v>
      </c>
      <c r="V8" s="2" t="s">
        <v>506</v>
      </c>
      <c r="W8" s="2" t="b">
        <f t="shared" si="1"/>
        <v>0</v>
      </c>
    </row>
    <row r="9" spans="1:23" ht="71.25">
      <c r="A9" s="2" t="s">
        <v>131</v>
      </c>
      <c r="B9" s="2" t="s">
        <v>134</v>
      </c>
      <c r="C9" s="2" t="s">
        <v>507</v>
      </c>
      <c r="D9" s="2"/>
      <c r="E9" s="2"/>
      <c r="F9" s="2"/>
      <c r="G9" s="2"/>
      <c r="H9" s="2"/>
      <c r="I9" s="2"/>
      <c r="J9" s="2" t="s">
        <v>503</v>
      </c>
      <c r="K9" s="2" t="s">
        <v>271</v>
      </c>
      <c r="L9" s="2" t="s">
        <v>271</v>
      </c>
      <c r="M9" s="2" t="s">
        <v>508</v>
      </c>
      <c r="N9" s="2" t="s">
        <v>490</v>
      </c>
      <c r="O9" s="2" t="s">
        <v>509</v>
      </c>
      <c r="P9" s="2" t="s">
        <v>499</v>
      </c>
      <c r="Q9" s="2">
        <v>2</v>
      </c>
      <c r="R9" s="2" t="s">
        <v>510</v>
      </c>
      <c r="S9" s="2" t="s">
        <v>494</v>
      </c>
      <c r="T9" s="2" t="s">
        <v>105</v>
      </c>
      <c r="U9" s="2">
        <f t="shared" si="0"/>
        <v>7</v>
      </c>
      <c r="V9" s="2" t="s">
        <v>511</v>
      </c>
      <c r="W9" s="2" t="b">
        <f t="shared" si="1"/>
        <v>0</v>
      </c>
    </row>
    <row r="10" spans="1:23" ht="99.75">
      <c r="A10" s="2" t="s">
        <v>139</v>
      </c>
      <c r="B10" s="2" t="s">
        <v>144</v>
      </c>
      <c r="C10" s="2" t="s">
        <v>490</v>
      </c>
      <c r="D10" s="2" t="s">
        <v>512</v>
      </c>
      <c r="E10" s="2"/>
      <c r="F10" s="2"/>
      <c r="G10" s="2"/>
      <c r="H10" s="2"/>
      <c r="I10" s="2"/>
      <c r="J10" s="2" t="s">
        <v>271</v>
      </c>
      <c r="K10" s="2" t="s">
        <v>513</v>
      </c>
      <c r="L10" s="2" t="s">
        <v>271</v>
      </c>
      <c r="M10" s="2" t="s">
        <v>271</v>
      </c>
      <c r="N10" s="2" t="s">
        <v>490</v>
      </c>
      <c r="O10" s="2" t="s">
        <v>514</v>
      </c>
      <c r="P10" s="2" t="s">
        <v>515</v>
      </c>
      <c r="Q10" s="2">
        <v>5</v>
      </c>
      <c r="R10" s="2" t="s">
        <v>516</v>
      </c>
      <c r="S10" s="2" t="s">
        <v>494</v>
      </c>
      <c r="T10" s="2" t="s">
        <v>105</v>
      </c>
      <c r="U10" s="2">
        <f t="shared" si="0"/>
        <v>8</v>
      </c>
      <c r="V10" s="2" t="s">
        <v>517</v>
      </c>
      <c r="W10" s="2" t="b">
        <f t="shared" si="1"/>
        <v>0</v>
      </c>
    </row>
    <row r="11" spans="1:23" ht="114">
      <c r="A11" s="2" t="s">
        <v>150</v>
      </c>
      <c r="B11" s="2" t="s">
        <v>152</v>
      </c>
      <c r="C11" s="2" t="s">
        <v>490</v>
      </c>
      <c r="D11" s="2" t="s">
        <v>512</v>
      </c>
      <c r="E11" s="2"/>
      <c r="F11" s="2"/>
      <c r="G11" s="2"/>
      <c r="H11" s="2"/>
      <c r="I11" s="2"/>
      <c r="J11" s="2" t="s">
        <v>271</v>
      </c>
      <c r="K11" s="2" t="s">
        <v>271</v>
      </c>
      <c r="L11" s="2" t="s">
        <v>271</v>
      </c>
      <c r="M11" s="2" t="s">
        <v>271</v>
      </c>
      <c r="N11" s="2" t="s">
        <v>490</v>
      </c>
      <c r="O11" s="2"/>
      <c r="P11" s="2"/>
      <c r="Q11" s="2">
        <v>0</v>
      </c>
      <c r="R11" s="2" t="s">
        <v>493</v>
      </c>
      <c r="S11" s="2" t="s">
        <v>494</v>
      </c>
      <c r="T11" s="2" t="s">
        <v>105</v>
      </c>
      <c r="U11" s="2">
        <f t="shared" si="0"/>
        <v>9</v>
      </c>
      <c r="V11" s="2" t="s">
        <v>518</v>
      </c>
      <c r="W11" s="2" t="b">
        <f t="shared" si="1"/>
        <v>0</v>
      </c>
    </row>
    <row r="12" spans="1:23" ht="28.5">
      <c r="A12" s="2" t="s">
        <v>153</v>
      </c>
      <c r="B12" s="2" t="s">
        <v>156</v>
      </c>
      <c r="C12" s="2" t="s">
        <v>485</v>
      </c>
      <c r="D12" s="2"/>
      <c r="E12" s="2">
        <f>'05_v0.2_Benchmark'!O6</f>
        <v>4</v>
      </c>
      <c r="F12" s="2">
        <f>'05_v0.2_Benchmark'!P6</f>
        <v>5</v>
      </c>
      <c r="G12" s="2">
        <f>'05_v0.2_Benchmark'!Q6</f>
        <v>4</v>
      </c>
      <c r="H12" s="2">
        <f>'05_v0.2_Benchmark'!R6</f>
        <v>265.89999999999998</v>
      </c>
      <c r="I12" s="2">
        <f>'05_v0.2_Benchmark'!S6</f>
        <v>9.6</v>
      </c>
      <c r="J12" s="2" t="str">
        <f>'05_v0.2_Benchmark'!T6</f>
        <v>NONE</v>
      </c>
      <c r="K12" s="2" t="str">
        <f>'05_v0.2_Benchmark'!U6</f>
        <v>NARROW</v>
      </c>
      <c r="L12" s="2" t="str">
        <f>'05_v0.2_Benchmark'!V6</f>
        <v>TRUE</v>
      </c>
      <c r="M12" s="2" t="str">
        <f>'05_v0.2_Benchmark'!W6</f>
        <v>ALL</v>
      </c>
      <c r="N12" s="2" t="str">
        <f>'05_v0.2_Benchmark'!X6</f>
        <v>ALL</v>
      </c>
      <c r="O12" s="2" t="s">
        <v>491</v>
      </c>
      <c r="P12" s="2" t="s">
        <v>519</v>
      </c>
      <c r="Q12" s="2">
        <v>5</v>
      </c>
      <c r="R12" s="2" t="s">
        <v>488</v>
      </c>
      <c r="S12" s="2" t="s">
        <v>489</v>
      </c>
      <c r="T12" s="2" t="s">
        <v>88</v>
      </c>
      <c r="U12" s="2">
        <f t="shared" si="0"/>
        <v>0</v>
      </c>
      <c r="V12" s="2" t="str">
        <f>IF(U12=0,"",_xludf.TEXTJOIN(", ",TRUE,IF(E12="","cushion_score",""),IF(F12="","stability_score",""),IF(G12="","responsiveness_score",""),IF(H12="","weight_g",""),IF(I12="","drop_mm",""),IF(J12="UNKNOWN","plate_type",""),IF(K12="UNKNOWN","fit_width",""),IF(L12="UNKNOWN","wide_option",""),IF(M12="UNKNOWN","runner_level_fit",""),IF(N12="UNKNOWN","distance_fit","")))</f>
        <v/>
      </c>
      <c r="W12" s="2" t="b">
        <f t="shared" si="1"/>
        <v>1</v>
      </c>
    </row>
    <row r="13" spans="1:23" ht="99.75">
      <c r="A13" s="2" t="s">
        <v>161</v>
      </c>
      <c r="B13" s="2" t="s">
        <v>163</v>
      </c>
      <c r="C13" s="2" t="s">
        <v>485</v>
      </c>
      <c r="D13" s="2"/>
      <c r="E13" s="2"/>
      <c r="F13" s="2"/>
      <c r="G13" s="2"/>
      <c r="H13" s="2"/>
      <c r="I13" s="2"/>
      <c r="J13" s="2" t="s">
        <v>271</v>
      </c>
      <c r="K13" s="2" t="s">
        <v>271</v>
      </c>
      <c r="L13" s="2" t="s">
        <v>271</v>
      </c>
      <c r="M13" s="2" t="s">
        <v>520</v>
      </c>
      <c r="N13" s="2" t="s">
        <v>271</v>
      </c>
      <c r="O13" s="2"/>
      <c r="P13" s="2"/>
      <c r="Q13" s="2">
        <v>0</v>
      </c>
      <c r="R13" s="2" t="s">
        <v>493</v>
      </c>
      <c r="S13" s="2" t="s">
        <v>494</v>
      </c>
      <c r="T13" s="2" t="s">
        <v>105</v>
      </c>
      <c r="U13" s="2">
        <f t="shared" si="0"/>
        <v>9</v>
      </c>
      <c r="V13" s="2" t="s">
        <v>521</v>
      </c>
      <c r="W13" s="2" t="b">
        <f t="shared" si="1"/>
        <v>0</v>
      </c>
    </row>
    <row r="14" spans="1:23" ht="42.75">
      <c r="A14" s="2" t="s">
        <v>164</v>
      </c>
      <c r="B14" s="2" t="s">
        <v>168</v>
      </c>
      <c r="C14" s="2" t="s">
        <v>502</v>
      </c>
      <c r="D14" s="2" t="s">
        <v>485</v>
      </c>
      <c r="E14" s="2">
        <f>'05_v0.2_Benchmark'!O24</f>
        <v>4</v>
      </c>
      <c r="F14" s="2">
        <f>'05_v0.2_Benchmark'!P24</f>
        <v>2</v>
      </c>
      <c r="G14" s="2">
        <f>'05_v0.2_Benchmark'!Q24</f>
        <v>3</v>
      </c>
      <c r="H14" s="2">
        <f>'05_v0.2_Benchmark'!R24</f>
        <v>245</v>
      </c>
      <c r="I14" s="2">
        <f>'05_v0.2_Benchmark'!S24</f>
        <v>8.1999999999999993</v>
      </c>
      <c r="J14" s="2" t="str">
        <f>'05_v0.2_Benchmark'!T24</f>
        <v>NONE</v>
      </c>
      <c r="K14" s="2" t="str">
        <f>'05_v0.2_Benchmark'!U24</f>
        <v>STANDARD</v>
      </c>
      <c r="L14" s="2" t="str">
        <f>'05_v0.2_Benchmark'!V24</f>
        <v>TRUE</v>
      </c>
      <c r="M14" s="2" t="str">
        <f>'05_v0.2_Benchmark'!W24</f>
        <v>ALL</v>
      </c>
      <c r="N14" s="2" t="str">
        <f>'05_v0.2_Benchmark'!X24</f>
        <v>ALL</v>
      </c>
      <c r="O14" s="2" t="s">
        <v>491</v>
      </c>
      <c r="P14" s="2" t="s">
        <v>522</v>
      </c>
      <c r="Q14" s="2">
        <v>3</v>
      </c>
      <c r="R14" s="2" t="s">
        <v>500</v>
      </c>
      <c r="S14" s="2" t="s">
        <v>489</v>
      </c>
      <c r="T14" s="2" t="s">
        <v>88</v>
      </c>
      <c r="U14" s="2">
        <f t="shared" si="0"/>
        <v>0</v>
      </c>
      <c r="V14" s="2" t="str">
        <f>IF(U14=0,"",_xludf.TEXTJOIN(", ",TRUE,IF(E14="","cushion_score",""),IF(F14="","stability_score",""),IF(G14="","responsiveness_score",""),IF(H14="","weight_g",""),IF(I14="","drop_mm",""),IF(J14="UNKNOWN","plate_type",""),IF(K14="UNKNOWN","fit_width",""),IF(L14="UNKNOWN","wide_option",""),IF(M14="UNKNOWN","runner_level_fit",""),IF(N14="UNKNOWN","distance_fit","")))</f>
        <v/>
      </c>
      <c r="W14" s="2" t="b">
        <f t="shared" si="1"/>
        <v>1</v>
      </c>
    </row>
    <row r="15" spans="1:23" ht="28.5">
      <c r="A15" s="2" t="s">
        <v>173</v>
      </c>
      <c r="B15" s="2" t="s">
        <v>175</v>
      </c>
      <c r="C15" s="2" t="s">
        <v>502</v>
      </c>
      <c r="D15" s="2" t="s">
        <v>485</v>
      </c>
      <c r="E15" s="2">
        <f>'05_v0.2_Benchmark'!O23</f>
        <v>4</v>
      </c>
      <c r="F15" s="2">
        <f>'05_v0.2_Benchmark'!P23</f>
        <v>4</v>
      </c>
      <c r="G15" s="2">
        <f>'05_v0.2_Benchmark'!Q23</f>
        <v>4</v>
      </c>
      <c r="H15" s="2">
        <f>'05_v0.2_Benchmark'!R23</f>
        <v>220</v>
      </c>
      <c r="I15" s="2">
        <f>'05_v0.2_Benchmark'!S23</f>
        <v>6.7</v>
      </c>
      <c r="J15" s="2" t="str">
        <f>'05_v0.2_Benchmark'!T23</f>
        <v>OTHER</v>
      </c>
      <c r="K15" s="2" t="str">
        <f>'05_v0.2_Benchmark'!U23</f>
        <v>STANDARD</v>
      </c>
      <c r="L15" s="2" t="str">
        <f>'05_v0.2_Benchmark'!V23</f>
        <v>FALSE</v>
      </c>
      <c r="M15" s="2" t="str">
        <f>'05_v0.2_Benchmark'!W23</f>
        <v>ALL</v>
      </c>
      <c r="N15" s="2" t="str">
        <f>'05_v0.2_Benchmark'!X23</f>
        <v>ALL</v>
      </c>
      <c r="O15" s="2" t="s">
        <v>496</v>
      </c>
      <c r="P15" s="2" t="s">
        <v>523</v>
      </c>
      <c r="Q15" s="2">
        <v>1</v>
      </c>
      <c r="R15" s="2" t="s">
        <v>524</v>
      </c>
      <c r="S15" s="2" t="s">
        <v>489</v>
      </c>
      <c r="T15" s="2" t="s">
        <v>88</v>
      </c>
      <c r="U15" s="2">
        <f t="shared" si="0"/>
        <v>0</v>
      </c>
      <c r="V15" s="2" t="str">
        <f>IF(U15=0,"",_xludf.TEXTJOIN(", ",TRUE,IF(E15="","cushion_score",""),IF(F15="","stability_score",""),IF(G15="","responsiveness_score",""),IF(H15="","weight_g",""),IF(I15="","drop_mm",""),IF(J15="UNKNOWN","plate_type",""),IF(K15="UNKNOWN","fit_width",""),IF(L15="UNKNOWN","wide_option",""),IF(M15="UNKNOWN","runner_level_fit",""),IF(N15="UNKNOWN","distance_fit","")))</f>
        <v/>
      </c>
      <c r="W15" s="2" t="b">
        <f t="shared" si="1"/>
        <v>1</v>
      </c>
    </row>
    <row r="16" spans="1:23" ht="28.5">
      <c r="A16" s="2" t="s">
        <v>176</v>
      </c>
      <c r="B16" s="2" t="s">
        <v>179</v>
      </c>
      <c r="C16" s="2" t="s">
        <v>507</v>
      </c>
      <c r="D16" s="2" t="s">
        <v>525</v>
      </c>
      <c r="E16" s="2">
        <f>'05_v0.2_Benchmark'!O31</f>
        <v>4</v>
      </c>
      <c r="F16" s="2">
        <f>'05_v0.2_Benchmark'!P31</f>
        <v>3</v>
      </c>
      <c r="G16" s="2">
        <f>'05_v0.2_Benchmark'!Q31</f>
        <v>5</v>
      </c>
      <c r="H16" s="2">
        <f>'05_v0.2_Benchmark'!R31</f>
        <v>197.5</v>
      </c>
      <c r="I16" s="2">
        <f>'05_v0.2_Benchmark'!S31</f>
        <v>7</v>
      </c>
      <c r="J16" s="2" t="str">
        <f>'05_v0.2_Benchmark'!T31</f>
        <v>CARBON</v>
      </c>
      <c r="K16" s="2" t="str">
        <f>'05_v0.2_Benchmark'!U31</f>
        <v>NARROW</v>
      </c>
      <c r="L16" s="2" t="str">
        <f>'05_v0.2_Benchmark'!V31</f>
        <v>FALSE</v>
      </c>
      <c r="M16" s="2" t="str">
        <f>'05_v0.2_Benchmark'!W31</f>
        <v>ADVANCED</v>
      </c>
      <c r="N16" s="2" t="str">
        <f>'05_v0.2_Benchmark'!X31</f>
        <v>LONG</v>
      </c>
      <c r="O16" s="2"/>
      <c r="P16" s="2"/>
      <c r="Q16" s="2">
        <v>0</v>
      </c>
      <c r="R16" s="2" t="s">
        <v>488</v>
      </c>
      <c r="S16" s="2" t="s">
        <v>489</v>
      </c>
      <c r="T16" s="2" t="s">
        <v>88</v>
      </c>
      <c r="U16" s="2">
        <f t="shared" si="0"/>
        <v>0</v>
      </c>
      <c r="V16" s="2" t="str">
        <f>IF(U16=0,"",_xludf.TEXTJOIN(", ",TRUE,IF(E16="","cushion_score",""),IF(F16="","stability_score",""),IF(G16="","responsiveness_score",""),IF(H16="","weight_g",""),IF(I16="","drop_mm",""),IF(J16="UNKNOWN","plate_type",""),IF(K16="UNKNOWN","fit_width",""),IF(L16="UNKNOWN","wide_option",""),IF(M16="UNKNOWN","runner_level_fit",""),IF(N16="UNKNOWN","distance_fit","")))</f>
        <v/>
      </c>
      <c r="W16" s="2" t="b">
        <f t="shared" si="1"/>
        <v>1</v>
      </c>
    </row>
    <row r="17" spans="1:23" ht="42.75">
      <c r="A17" s="2" t="s">
        <v>180</v>
      </c>
      <c r="B17" s="2" t="s">
        <v>49</v>
      </c>
      <c r="C17" s="2" t="s">
        <v>485</v>
      </c>
      <c r="D17" s="2"/>
      <c r="E17" s="2" t="str">
        <f>'05_v0.2_Benchmark'!O5</f>
        <v/>
      </c>
      <c r="F17" s="2" t="str">
        <f>'05_v0.2_Benchmark'!P5</f>
        <v/>
      </c>
      <c r="G17" s="2" t="str">
        <f>'05_v0.2_Benchmark'!Q5</f>
        <v/>
      </c>
      <c r="H17" s="2">
        <f>'05_v0.2_Benchmark'!R5</f>
        <v>291</v>
      </c>
      <c r="I17" s="2">
        <f>'05_v0.2_Benchmark'!S5</f>
        <v>9</v>
      </c>
      <c r="J17" s="2" t="str">
        <f>'05_v0.2_Benchmark'!T5</f>
        <v>NONE</v>
      </c>
      <c r="K17" s="2" t="str">
        <f>'05_v0.2_Benchmark'!U5</f>
        <v>STANDARD</v>
      </c>
      <c r="L17" s="2" t="str">
        <f>'05_v0.2_Benchmark'!V5</f>
        <v>TRUE</v>
      </c>
      <c r="M17" s="2" t="str">
        <f>'05_v0.2_Benchmark'!W5</f>
        <v>BEGINNER</v>
      </c>
      <c r="N17" s="2" t="str">
        <f>'05_v0.2_Benchmark'!X5</f>
        <v>ALL</v>
      </c>
      <c r="O17" s="2" t="s">
        <v>491</v>
      </c>
      <c r="P17" s="2" t="s">
        <v>492</v>
      </c>
      <c r="Q17" s="2">
        <v>3</v>
      </c>
      <c r="R17" s="2" t="s">
        <v>526</v>
      </c>
      <c r="S17" s="2" t="s">
        <v>489</v>
      </c>
      <c r="T17" s="2" t="s">
        <v>105</v>
      </c>
      <c r="U17" s="2">
        <f t="shared" si="0"/>
        <v>3</v>
      </c>
      <c r="V17" s="2" t="e">
        <f ca="1">IF(U17=0,"",_xludf.TEXTJOIN(", ",TRUE,IF(E17="","cushion_score",""),IF(F17="","stability_score",""),IF(G17="","responsiveness_score",""),IF(H17="","weight_g",""),IF(I17="","drop_mm",""),IF(J17="UNKNOWN","plate_type",""),IF(K17="UNKNOWN","fit_width",""),IF(L17="UNKNOWN","wide_option",""),IF(M17="UNKNOWN","runner_level_fit",""),IF(N17="UNKNOWN","distance_fit","")))</f>
        <v>#NAME?</v>
      </c>
      <c r="W17" s="2" t="b">
        <f t="shared" si="1"/>
        <v>0</v>
      </c>
    </row>
    <row r="18" spans="1:23" ht="99.75">
      <c r="A18" s="2" t="s">
        <v>187</v>
      </c>
      <c r="B18" s="2" t="s">
        <v>189</v>
      </c>
      <c r="C18" s="2" t="s">
        <v>485</v>
      </c>
      <c r="D18" s="2"/>
      <c r="E18" s="2"/>
      <c r="F18" s="2"/>
      <c r="G18" s="2"/>
      <c r="H18" s="2"/>
      <c r="I18" s="2"/>
      <c r="J18" s="2" t="s">
        <v>271</v>
      </c>
      <c r="K18" s="2" t="s">
        <v>271</v>
      </c>
      <c r="L18" s="2" t="s">
        <v>271</v>
      </c>
      <c r="M18" s="2" t="s">
        <v>520</v>
      </c>
      <c r="N18" s="2" t="s">
        <v>271</v>
      </c>
      <c r="O18" s="2" t="s">
        <v>527</v>
      </c>
      <c r="P18" s="2" t="s">
        <v>515</v>
      </c>
      <c r="Q18" s="2">
        <v>2</v>
      </c>
      <c r="R18" s="2" t="s">
        <v>510</v>
      </c>
      <c r="S18" s="2" t="s">
        <v>494</v>
      </c>
      <c r="T18" s="2" t="s">
        <v>105</v>
      </c>
      <c r="U18" s="2">
        <f t="shared" si="0"/>
        <v>9</v>
      </c>
      <c r="V18" s="2" t="s">
        <v>528</v>
      </c>
      <c r="W18" s="2" t="b">
        <f t="shared" si="1"/>
        <v>0</v>
      </c>
    </row>
    <row r="19" spans="1:23" ht="28.5">
      <c r="A19" s="2" t="s">
        <v>190</v>
      </c>
      <c r="B19" s="2" t="s">
        <v>196</v>
      </c>
      <c r="C19" s="2" t="s">
        <v>490</v>
      </c>
      <c r="D19" s="2" t="s">
        <v>485</v>
      </c>
      <c r="E19" s="2">
        <f>'05_v0.2_Benchmark'!O9</f>
        <v>4</v>
      </c>
      <c r="F19" s="2">
        <f>'05_v0.2_Benchmark'!P9</f>
        <v>4</v>
      </c>
      <c r="G19" s="2">
        <f>'05_v0.2_Benchmark'!Q9</f>
        <v>4</v>
      </c>
      <c r="H19" s="2">
        <f>'05_v0.2_Benchmark'!R9</f>
        <v>250.3</v>
      </c>
      <c r="I19" s="2">
        <f>'05_v0.2_Benchmark'!S9</f>
        <v>7.8</v>
      </c>
      <c r="J19" s="2" t="str">
        <f>'05_v0.2_Benchmark'!T9</f>
        <v>NONE</v>
      </c>
      <c r="K19" s="2" t="str">
        <f>'05_v0.2_Benchmark'!U9</f>
        <v>NARROW</v>
      </c>
      <c r="L19" s="2" t="str">
        <f>'05_v0.2_Benchmark'!V9</f>
        <v>TRUE</v>
      </c>
      <c r="M19" s="2" t="str">
        <f>'05_v0.2_Benchmark'!W9</f>
        <v>ALL</v>
      </c>
      <c r="N19" s="2" t="str">
        <f>'05_v0.2_Benchmark'!X9</f>
        <v>LONG</v>
      </c>
      <c r="O19" s="2" t="s">
        <v>491</v>
      </c>
      <c r="P19" s="2" t="s">
        <v>492</v>
      </c>
      <c r="Q19" s="2">
        <v>5</v>
      </c>
      <c r="R19" s="2" t="s">
        <v>488</v>
      </c>
      <c r="S19" s="2" t="s">
        <v>489</v>
      </c>
      <c r="T19" s="2" t="s">
        <v>88</v>
      </c>
      <c r="U19" s="2">
        <f t="shared" si="0"/>
        <v>0</v>
      </c>
      <c r="V19" s="2" t="str">
        <f>IF(U19=0,"",_xludf.TEXTJOIN(", ",TRUE,IF(E19="","cushion_score",""),IF(F19="","stability_score",""),IF(G19="","responsiveness_score",""),IF(H19="","weight_g",""),IF(I19="","drop_mm",""),IF(J19="UNKNOWN","plate_type",""),IF(K19="UNKNOWN","fit_width",""),IF(L19="UNKNOWN","wide_option",""),IF(M19="UNKNOWN","runner_level_fit",""),IF(N19="UNKNOWN","distance_fit","")))</f>
        <v/>
      </c>
      <c r="W19" s="2" t="b">
        <f t="shared" si="1"/>
        <v>1</v>
      </c>
    </row>
    <row r="20" spans="1:23" ht="28.5">
      <c r="A20" s="2" t="s">
        <v>200</v>
      </c>
      <c r="B20" s="2" t="s">
        <v>203</v>
      </c>
      <c r="C20" s="2" t="s">
        <v>485</v>
      </c>
      <c r="D20" s="2"/>
      <c r="E20" s="2">
        <f>'05_v0.2_Benchmark'!O10</f>
        <v>4</v>
      </c>
      <c r="F20" s="2">
        <f>'05_v0.2_Benchmark'!P10</f>
        <v>5</v>
      </c>
      <c r="G20" s="2">
        <f>'05_v0.2_Benchmark'!Q10</f>
        <v>4</v>
      </c>
      <c r="H20" s="2">
        <f>'05_v0.2_Benchmark'!R10</f>
        <v>286.60000000000002</v>
      </c>
      <c r="I20" s="2">
        <f>'05_v0.2_Benchmark'!S10</f>
        <v>7.3</v>
      </c>
      <c r="J20" s="2" t="str">
        <f>'05_v0.2_Benchmark'!T10</f>
        <v>NONE</v>
      </c>
      <c r="K20" s="2" t="str">
        <f>'05_v0.2_Benchmark'!U10</f>
        <v>STANDARD</v>
      </c>
      <c r="L20" s="2" t="str">
        <f>'05_v0.2_Benchmark'!V10</f>
        <v>TRUE</v>
      </c>
      <c r="M20" s="2" t="str">
        <f>'05_v0.2_Benchmark'!W10</f>
        <v>ALL</v>
      </c>
      <c r="N20" s="2" t="str">
        <f>'05_v0.2_Benchmark'!X10</f>
        <v>ALL</v>
      </c>
      <c r="O20" s="2" t="s">
        <v>529</v>
      </c>
      <c r="P20" s="2" t="s">
        <v>530</v>
      </c>
      <c r="Q20" s="2">
        <v>4</v>
      </c>
      <c r="R20" s="2" t="s">
        <v>488</v>
      </c>
      <c r="S20" s="2" t="s">
        <v>489</v>
      </c>
      <c r="T20" s="2" t="s">
        <v>88</v>
      </c>
      <c r="U20" s="2">
        <f t="shared" si="0"/>
        <v>0</v>
      </c>
      <c r="V20" s="2" t="str">
        <f>IF(U20=0,"",_xludf.TEXTJOIN(", ",TRUE,IF(E20="","cushion_score",""),IF(F20="","stability_score",""),IF(G20="","responsiveness_score",""),IF(H20="","weight_g",""),IF(I20="","drop_mm",""),IF(J20="UNKNOWN","plate_type",""),IF(K20="UNKNOWN","fit_width",""),IF(L20="UNKNOWN","wide_option",""),IF(M20="UNKNOWN","runner_level_fit",""),IF(N20="UNKNOWN","distance_fit","")))</f>
        <v/>
      </c>
      <c r="W20" s="2" t="b">
        <f t="shared" si="1"/>
        <v>1</v>
      </c>
    </row>
    <row r="21" spans="1:23" ht="28.5">
      <c r="A21" s="2" t="s">
        <v>208</v>
      </c>
      <c r="B21" s="2" t="s">
        <v>211</v>
      </c>
      <c r="C21" s="2" t="s">
        <v>498</v>
      </c>
      <c r="D21" s="2"/>
      <c r="E21" s="2">
        <f>'05_v0.2_Benchmark'!O16</f>
        <v>4</v>
      </c>
      <c r="F21" s="2">
        <f>'05_v0.2_Benchmark'!P16</f>
        <v>5</v>
      </c>
      <c r="G21" s="2">
        <f>'05_v0.2_Benchmark'!Q16</f>
        <v>4</v>
      </c>
      <c r="H21" s="2">
        <f>'05_v0.2_Benchmark'!R16</f>
        <v>329.3</v>
      </c>
      <c r="I21" s="2">
        <f>'05_v0.2_Benchmark'!S16</f>
        <v>6</v>
      </c>
      <c r="J21" s="2" t="str">
        <f>'05_v0.2_Benchmark'!T16</f>
        <v>OTHER</v>
      </c>
      <c r="K21" s="2" t="str">
        <f>'05_v0.2_Benchmark'!U16</f>
        <v>NARROW</v>
      </c>
      <c r="L21" s="2" t="str">
        <f>'05_v0.2_Benchmark'!V16</f>
        <v>TRUE</v>
      </c>
      <c r="M21" s="2" t="str">
        <f>'05_v0.2_Benchmark'!W16</f>
        <v>ALL</v>
      </c>
      <c r="N21" s="2" t="str">
        <f>'05_v0.2_Benchmark'!X16</f>
        <v>ALL</v>
      </c>
      <c r="O21" s="2" t="s">
        <v>531</v>
      </c>
      <c r="P21" s="2" t="s">
        <v>532</v>
      </c>
      <c r="Q21" s="2">
        <v>4</v>
      </c>
      <c r="R21" s="2" t="s">
        <v>488</v>
      </c>
      <c r="S21" s="2" t="s">
        <v>489</v>
      </c>
      <c r="T21" s="2" t="s">
        <v>88</v>
      </c>
      <c r="U21" s="2">
        <f t="shared" si="0"/>
        <v>0</v>
      </c>
      <c r="V21" s="2" t="str">
        <f>IF(U21=0,"",_xludf.TEXTJOIN(", ",TRUE,IF(E21="","cushion_score",""),IF(F21="","stability_score",""),IF(G21="","responsiveness_score",""),IF(H21="","weight_g",""),IF(I21="","drop_mm",""),IF(J21="UNKNOWN","plate_type",""),IF(K21="UNKNOWN","fit_width",""),IF(L21="UNKNOWN","wide_option",""),IF(M21="UNKNOWN","runner_level_fit",""),IF(N21="UNKNOWN","distance_fit","")))</f>
        <v/>
      </c>
      <c r="W21" s="2" t="b">
        <f t="shared" si="1"/>
        <v>1</v>
      </c>
    </row>
    <row r="22" spans="1:23" ht="28.5">
      <c r="A22" s="2" t="s">
        <v>214</v>
      </c>
      <c r="B22" s="2" t="s">
        <v>218</v>
      </c>
      <c r="C22" s="2" t="s">
        <v>507</v>
      </c>
      <c r="D22" s="2"/>
      <c r="E22" s="2">
        <f>'05_v0.2_Benchmark'!O27</f>
        <v>4</v>
      </c>
      <c r="F22" s="2">
        <f>'05_v0.2_Benchmark'!P27</f>
        <v>3</v>
      </c>
      <c r="G22" s="2">
        <f>'05_v0.2_Benchmark'!Q27</f>
        <v>5</v>
      </c>
      <c r="H22" s="2">
        <f>'05_v0.2_Benchmark'!R27</f>
        <v>200.5</v>
      </c>
      <c r="I22" s="2">
        <f>'05_v0.2_Benchmark'!S27</f>
        <v>8.9</v>
      </c>
      <c r="J22" s="2" t="str">
        <f>'05_v0.2_Benchmark'!T27</f>
        <v>CARBON</v>
      </c>
      <c r="K22" s="2" t="str">
        <f>'05_v0.2_Benchmark'!U27</f>
        <v>NARROW</v>
      </c>
      <c r="L22" s="2" t="str">
        <f>'05_v0.2_Benchmark'!V27</f>
        <v>TRUE</v>
      </c>
      <c r="M22" s="2" t="str">
        <f>'05_v0.2_Benchmark'!W27</f>
        <v>ADVANCED</v>
      </c>
      <c r="N22" s="2" t="str">
        <f>'05_v0.2_Benchmark'!X27</f>
        <v>LONG</v>
      </c>
      <c r="O22" s="2" t="s">
        <v>533</v>
      </c>
      <c r="P22" s="2" t="s">
        <v>492</v>
      </c>
      <c r="Q22" s="2">
        <v>6</v>
      </c>
      <c r="R22" s="2" t="s">
        <v>488</v>
      </c>
      <c r="S22" s="2" t="s">
        <v>489</v>
      </c>
      <c r="T22" s="2" t="s">
        <v>88</v>
      </c>
      <c r="U22" s="2">
        <f t="shared" si="0"/>
        <v>0</v>
      </c>
      <c r="V22" s="2" t="str">
        <f>IF(U22=0,"",_xludf.TEXTJOIN(", ",TRUE,IF(E22="","cushion_score",""),IF(F22="","stability_score",""),IF(G22="","responsiveness_score",""),IF(H22="","weight_g",""),IF(I22="","drop_mm",""),IF(J22="UNKNOWN","plate_type",""),IF(K22="UNKNOWN","fit_width",""),IF(L22="UNKNOWN","wide_option",""),IF(M22="UNKNOWN","runner_level_fit",""),IF(N22="UNKNOWN","distance_fit","")))</f>
        <v/>
      </c>
      <c r="W22" s="2" t="b">
        <f t="shared" si="1"/>
        <v>1</v>
      </c>
    </row>
    <row r="23" spans="1:23" ht="99.75">
      <c r="A23" s="2" t="s">
        <v>222</v>
      </c>
      <c r="B23" s="2" t="s">
        <v>227</v>
      </c>
      <c r="C23" s="2" t="s">
        <v>485</v>
      </c>
      <c r="D23" s="2"/>
      <c r="E23" s="2"/>
      <c r="F23" s="2"/>
      <c r="G23" s="2"/>
      <c r="H23" s="2"/>
      <c r="I23" s="2"/>
      <c r="J23" s="2" t="s">
        <v>271</v>
      </c>
      <c r="K23" s="2" t="s">
        <v>513</v>
      </c>
      <c r="L23" s="2" t="s">
        <v>271</v>
      </c>
      <c r="M23" s="2" t="s">
        <v>271</v>
      </c>
      <c r="N23" s="2" t="s">
        <v>271</v>
      </c>
      <c r="O23" s="2" t="s">
        <v>491</v>
      </c>
      <c r="P23" s="2" t="s">
        <v>534</v>
      </c>
      <c r="Q23" s="2">
        <v>7</v>
      </c>
      <c r="R23" s="2" t="s">
        <v>535</v>
      </c>
      <c r="S23" s="2" t="s">
        <v>494</v>
      </c>
      <c r="T23" s="2" t="s">
        <v>105</v>
      </c>
      <c r="U23" s="2">
        <f t="shared" si="0"/>
        <v>9</v>
      </c>
      <c r="V23" s="2" t="s">
        <v>536</v>
      </c>
      <c r="W23" s="2" t="b">
        <f t="shared" si="1"/>
        <v>0</v>
      </c>
    </row>
    <row r="24" spans="1:23" ht="99.75">
      <c r="A24" s="2" t="s">
        <v>234</v>
      </c>
      <c r="B24" s="2" t="s">
        <v>237</v>
      </c>
      <c r="C24" s="2" t="s">
        <v>490</v>
      </c>
      <c r="D24" s="2"/>
      <c r="E24" s="2"/>
      <c r="F24" s="2"/>
      <c r="G24" s="2"/>
      <c r="H24" s="2"/>
      <c r="I24" s="2"/>
      <c r="J24" s="2" t="s">
        <v>271</v>
      </c>
      <c r="K24" s="2" t="s">
        <v>513</v>
      </c>
      <c r="L24" s="2" t="s">
        <v>271</v>
      </c>
      <c r="M24" s="2" t="s">
        <v>271</v>
      </c>
      <c r="N24" s="2" t="s">
        <v>271</v>
      </c>
      <c r="O24" s="2" t="s">
        <v>514</v>
      </c>
      <c r="P24" s="2" t="s">
        <v>537</v>
      </c>
      <c r="Q24" s="2">
        <v>5</v>
      </c>
      <c r="R24" s="2" t="s">
        <v>516</v>
      </c>
      <c r="S24" s="2" t="s">
        <v>494</v>
      </c>
      <c r="T24" s="2" t="s">
        <v>105</v>
      </c>
      <c r="U24" s="2">
        <f t="shared" si="0"/>
        <v>9</v>
      </c>
      <c r="V24" s="2" t="s">
        <v>536</v>
      </c>
      <c r="W24" s="2" t="b">
        <f t="shared" si="1"/>
        <v>0</v>
      </c>
    </row>
    <row r="25" spans="1:23" ht="99.75">
      <c r="A25" s="2" t="s">
        <v>241</v>
      </c>
      <c r="B25" s="2" t="s">
        <v>244</v>
      </c>
      <c r="C25" s="2" t="s">
        <v>498</v>
      </c>
      <c r="D25" s="2"/>
      <c r="E25" s="2"/>
      <c r="F25" s="2"/>
      <c r="G25" s="2"/>
      <c r="H25" s="2"/>
      <c r="I25" s="2"/>
      <c r="J25" s="2" t="s">
        <v>271</v>
      </c>
      <c r="K25" s="2" t="s">
        <v>513</v>
      </c>
      <c r="L25" s="2" t="s">
        <v>271</v>
      </c>
      <c r="M25" s="2" t="s">
        <v>271</v>
      </c>
      <c r="N25" s="2" t="s">
        <v>271</v>
      </c>
      <c r="O25" s="2" t="s">
        <v>531</v>
      </c>
      <c r="P25" s="2" t="s">
        <v>522</v>
      </c>
      <c r="Q25" s="2">
        <v>6</v>
      </c>
      <c r="R25" s="2" t="s">
        <v>538</v>
      </c>
      <c r="S25" s="2" t="s">
        <v>494</v>
      </c>
      <c r="T25" s="2" t="s">
        <v>105</v>
      </c>
      <c r="U25" s="2">
        <f t="shared" si="0"/>
        <v>9</v>
      </c>
      <c r="V25" s="2" t="s">
        <v>536</v>
      </c>
      <c r="W25" s="2" t="b">
        <f t="shared" si="1"/>
        <v>0</v>
      </c>
    </row>
    <row r="26" spans="1:23" ht="99.75">
      <c r="A26" s="2" t="s">
        <v>247</v>
      </c>
      <c r="B26" s="2" t="s">
        <v>250</v>
      </c>
      <c r="C26" s="2" t="s">
        <v>502</v>
      </c>
      <c r="D26" s="2" t="s">
        <v>485</v>
      </c>
      <c r="E26" s="2"/>
      <c r="F26" s="2"/>
      <c r="G26" s="2"/>
      <c r="H26" s="2"/>
      <c r="I26" s="2"/>
      <c r="J26" s="2" t="s">
        <v>271</v>
      </c>
      <c r="K26" s="2" t="s">
        <v>513</v>
      </c>
      <c r="L26" s="2" t="s">
        <v>271</v>
      </c>
      <c r="M26" s="2" t="s">
        <v>271</v>
      </c>
      <c r="N26" s="2" t="s">
        <v>271</v>
      </c>
      <c r="O26" s="2" t="s">
        <v>491</v>
      </c>
      <c r="P26" s="2"/>
      <c r="Q26" s="2">
        <v>4</v>
      </c>
      <c r="R26" s="2" t="s">
        <v>505</v>
      </c>
      <c r="S26" s="2" t="s">
        <v>494</v>
      </c>
      <c r="T26" s="2" t="s">
        <v>105</v>
      </c>
      <c r="U26" s="2">
        <f t="shared" si="0"/>
        <v>9</v>
      </c>
      <c r="V26" s="2" t="s">
        <v>536</v>
      </c>
      <c r="W26" s="2" t="b">
        <f t="shared" si="1"/>
        <v>0</v>
      </c>
    </row>
    <row r="27" spans="1:23" ht="99.75">
      <c r="A27" s="2" t="s">
        <v>253</v>
      </c>
      <c r="B27" s="2" t="s">
        <v>256</v>
      </c>
      <c r="C27" s="2" t="s">
        <v>507</v>
      </c>
      <c r="D27" s="2"/>
      <c r="E27" s="2"/>
      <c r="F27" s="2"/>
      <c r="G27" s="2"/>
      <c r="H27" s="2"/>
      <c r="I27" s="2"/>
      <c r="J27" s="2" t="s">
        <v>503</v>
      </c>
      <c r="K27" s="2" t="s">
        <v>271</v>
      </c>
      <c r="L27" s="2" t="s">
        <v>271</v>
      </c>
      <c r="M27" s="2" t="s">
        <v>271</v>
      </c>
      <c r="N27" s="2" t="s">
        <v>271</v>
      </c>
      <c r="O27" s="2" t="s">
        <v>539</v>
      </c>
      <c r="P27" s="2"/>
      <c r="Q27" s="2">
        <v>2</v>
      </c>
      <c r="R27" s="2" t="s">
        <v>510</v>
      </c>
      <c r="S27" s="2" t="s">
        <v>494</v>
      </c>
      <c r="T27" s="2" t="s">
        <v>105</v>
      </c>
      <c r="U27" s="2">
        <f t="shared" si="0"/>
        <v>9</v>
      </c>
      <c r="V27" s="2" t="s">
        <v>506</v>
      </c>
      <c r="W27" s="2" t="b">
        <f t="shared" si="1"/>
        <v>0</v>
      </c>
    </row>
    <row r="28" spans="1:23" ht="28.5">
      <c r="A28" s="2" t="s">
        <v>259</v>
      </c>
      <c r="B28" s="2" t="s">
        <v>264</v>
      </c>
      <c r="C28" s="2" t="s">
        <v>498</v>
      </c>
      <c r="D28" s="2" t="s">
        <v>490</v>
      </c>
      <c r="E28" s="2">
        <f>'05_v0.2_Benchmark'!O14</f>
        <v>4</v>
      </c>
      <c r="F28" s="2">
        <f>'05_v0.2_Benchmark'!P14</f>
        <v>5</v>
      </c>
      <c r="G28" s="2">
        <f>'05_v0.2_Benchmark'!Q14</f>
        <v>3</v>
      </c>
      <c r="H28" s="2">
        <f>'05_v0.2_Benchmark'!R14</f>
        <v>295.89999999999998</v>
      </c>
      <c r="I28" s="2">
        <f>'05_v0.2_Benchmark'!S14</f>
        <v>11.1</v>
      </c>
      <c r="J28" s="2" t="str">
        <f>'05_v0.2_Benchmark'!T14</f>
        <v>NONE</v>
      </c>
      <c r="K28" s="2" t="str">
        <f>'05_v0.2_Benchmark'!U14</f>
        <v>STANDARD</v>
      </c>
      <c r="L28" s="2" t="str">
        <f>'05_v0.2_Benchmark'!V14</f>
        <v>TRUE</v>
      </c>
      <c r="M28" s="2" t="str">
        <f>'05_v0.2_Benchmark'!W14</f>
        <v>ALL</v>
      </c>
      <c r="N28" s="2" t="str">
        <f>'05_v0.2_Benchmark'!X14</f>
        <v>ALL</v>
      </c>
      <c r="O28" s="2"/>
      <c r="P28" s="2"/>
      <c r="Q28" s="2">
        <v>0</v>
      </c>
      <c r="R28" s="2" t="s">
        <v>488</v>
      </c>
      <c r="S28" s="2" t="s">
        <v>489</v>
      </c>
      <c r="T28" s="2" t="s">
        <v>88</v>
      </c>
      <c r="U28" s="2">
        <f t="shared" si="0"/>
        <v>0</v>
      </c>
      <c r="V28" s="2" t="str">
        <f>IF(U28=0,"",_xludf.TEXTJOIN(", ",TRUE,IF(E28="","cushion_score",""),IF(F28="","stability_score",""),IF(G28="","responsiveness_score",""),IF(H28="","weight_g",""),IF(I28="","drop_mm",""),IF(J28="UNKNOWN","plate_type",""),IF(K28="UNKNOWN","fit_width",""),IF(L28="UNKNOWN","wide_option",""),IF(M28="UNKNOWN","runner_level_fit",""),IF(N28="UNKNOWN","distance_fit","")))</f>
        <v/>
      </c>
      <c r="W28" s="2" t="b">
        <f t="shared" si="1"/>
        <v>1</v>
      </c>
    </row>
    <row r="29" spans="1:23" ht="99.75">
      <c r="A29" s="2" t="s">
        <v>268</v>
      </c>
      <c r="B29" s="2" t="s">
        <v>270</v>
      </c>
      <c r="C29" s="2" t="s">
        <v>498</v>
      </c>
      <c r="D29" s="2" t="s">
        <v>490</v>
      </c>
      <c r="E29" s="2"/>
      <c r="F29" s="2"/>
      <c r="G29" s="2"/>
      <c r="H29" s="2"/>
      <c r="I29" s="2"/>
      <c r="J29" s="2" t="s">
        <v>271</v>
      </c>
      <c r="K29" s="2" t="s">
        <v>271</v>
      </c>
      <c r="L29" s="2" t="s">
        <v>271</v>
      </c>
      <c r="M29" s="2" t="s">
        <v>271</v>
      </c>
      <c r="N29" s="2" t="s">
        <v>490</v>
      </c>
      <c r="O29" s="2"/>
      <c r="P29" s="2"/>
      <c r="Q29" s="2">
        <v>0</v>
      </c>
      <c r="R29" s="2" t="s">
        <v>493</v>
      </c>
      <c r="S29" s="2" t="s">
        <v>494</v>
      </c>
      <c r="T29" s="2" t="s">
        <v>105</v>
      </c>
      <c r="U29" s="2">
        <f t="shared" si="0"/>
        <v>9</v>
      </c>
      <c r="V29" s="2" t="s">
        <v>495</v>
      </c>
      <c r="W29" s="2" t="b">
        <f t="shared" si="1"/>
        <v>0</v>
      </c>
    </row>
    <row r="30" spans="1:23" ht="28.5">
      <c r="A30" s="2" t="s">
        <v>272</v>
      </c>
      <c r="B30" s="2" t="s">
        <v>275</v>
      </c>
      <c r="C30" s="2" t="s">
        <v>490</v>
      </c>
      <c r="D30" s="2" t="s">
        <v>485</v>
      </c>
      <c r="E30" s="2">
        <f>'05_v0.2_Benchmark'!O7</f>
        <v>5</v>
      </c>
      <c r="F30" s="2">
        <f>'05_v0.2_Benchmark'!P7</f>
        <v>5</v>
      </c>
      <c r="G30" s="2">
        <f>'05_v0.2_Benchmark'!Q7</f>
        <v>3</v>
      </c>
      <c r="H30" s="2">
        <f>'05_v0.2_Benchmark'!R7</f>
        <v>272.89999999999998</v>
      </c>
      <c r="I30" s="2">
        <f>'05_v0.2_Benchmark'!S7</f>
        <v>6.4</v>
      </c>
      <c r="J30" s="2" t="str">
        <f>'05_v0.2_Benchmark'!T7</f>
        <v>NONE</v>
      </c>
      <c r="K30" s="2" t="str">
        <f>'05_v0.2_Benchmark'!U7</f>
        <v>NARROW</v>
      </c>
      <c r="L30" s="2" t="str">
        <f>'05_v0.2_Benchmark'!V7</f>
        <v>TRUE</v>
      </c>
      <c r="M30" s="2" t="str">
        <f>'05_v0.2_Benchmark'!W7</f>
        <v>ALL</v>
      </c>
      <c r="N30" s="2" t="str">
        <f>'05_v0.2_Benchmark'!X7</f>
        <v>LONG</v>
      </c>
      <c r="O30" s="2" t="s">
        <v>514</v>
      </c>
      <c r="P30" s="2"/>
      <c r="Q30" s="2">
        <v>4</v>
      </c>
      <c r="R30" s="2" t="s">
        <v>488</v>
      </c>
      <c r="S30" s="2" t="s">
        <v>489</v>
      </c>
      <c r="T30" s="2" t="s">
        <v>88</v>
      </c>
      <c r="U30" s="2">
        <f t="shared" si="0"/>
        <v>0</v>
      </c>
      <c r="V30" s="2" t="str">
        <f>IF(U30=0,"",_xludf.TEXTJOIN(", ",TRUE,IF(E30="","cushion_score",""),IF(F30="","stability_score",""),IF(G30="","responsiveness_score",""),IF(H30="","weight_g",""),IF(I30="","drop_mm",""),IF(J30="UNKNOWN","plate_type",""),IF(K30="UNKNOWN","fit_width",""),IF(L30="UNKNOWN","wide_option",""),IF(M30="UNKNOWN","runner_level_fit",""),IF(N30="UNKNOWN","distance_fit","")))</f>
        <v/>
      </c>
      <c r="W30" s="2" t="b">
        <f t="shared" si="1"/>
        <v>1</v>
      </c>
    </row>
    <row r="31" spans="1:23" ht="28.5">
      <c r="A31" s="2" t="s">
        <v>277</v>
      </c>
      <c r="B31" s="2" t="s">
        <v>280</v>
      </c>
      <c r="C31" s="2" t="s">
        <v>485</v>
      </c>
      <c r="D31" s="2"/>
      <c r="E31" s="2">
        <f>'05_v0.2_Benchmark'!O2</f>
        <v>5</v>
      </c>
      <c r="F31" s="2">
        <f>'05_v0.2_Benchmark'!P2</f>
        <v>4</v>
      </c>
      <c r="G31" s="2">
        <f>'05_v0.2_Benchmark'!Q2</f>
        <v>4</v>
      </c>
      <c r="H31" s="2">
        <f>'05_v0.2_Benchmark'!R2</f>
        <v>248.2</v>
      </c>
      <c r="I31" s="2">
        <f>'05_v0.2_Benchmark'!S2</f>
        <v>8.1999999999999993</v>
      </c>
      <c r="J31" s="2" t="str">
        <f>'05_v0.2_Benchmark'!T2</f>
        <v>NONE</v>
      </c>
      <c r="K31" s="2" t="str">
        <f>'05_v0.2_Benchmark'!U2</f>
        <v>STANDARD</v>
      </c>
      <c r="L31" s="2" t="str">
        <f>'05_v0.2_Benchmark'!V2</f>
        <v>TRUE</v>
      </c>
      <c r="M31" s="2" t="str">
        <f>'05_v0.2_Benchmark'!W2</f>
        <v>ALL</v>
      </c>
      <c r="N31" s="2" t="str">
        <f>'05_v0.2_Benchmark'!X2</f>
        <v>ALL</v>
      </c>
      <c r="O31" s="2" t="s">
        <v>540</v>
      </c>
      <c r="P31" s="2" t="s">
        <v>541</v>
      </c>
      <c r="Q31" s="2">
        <v>8</v>
      </c>
      <c r="R31" s="2" t="s">
        <v>488</v>
      </c>
      <c r="S31" s="2" t="s">
        <v>489</v>
      </c>
      <c r="T31" s="2" t="s">
        <v>88</v>
      </c>
      <c r="U31" s="2">
        <f t="shared" si="0"/>
        <v>0</v>
      </c>
      <c r="V31" s="2" t="str">
        <f>IF(U31=0,"",_xludf.TEXTJOIN(", ",TRUE,IF(E31="","cushion_score",""),IF(F31="","stability_score",""),IF(G31="","responsiveness_score",""),IF(H31="","weight_g",""),IF(I31="","drop_mm",""),IF(J31="UNKNOWN","plate_type",""),IF(K31="UNKNOWN","fit_width",""),IF(L31="UNKNOWN","wide_option",""),IF(M31="UNKNOWN","runner_level_fit",""),IF(N31="UNKNOWN","distance_fit","")))</f>
        <v/>
      </c>
      <c r="W31" s="2" t="b">
        <f t="shared" si="1"/>
        <v>1</v>
      </c>
    </row>
    <row r="32" spans="1:23" ht="85.5">
      <c r="A32" s="2" t="s">
        <v>284</v>
      </c>
      <c r="B32" s="2" t="s">
        <v>286</v>
      </c>
      <c r="C32" s="2" t="s">
        <v>502</v>
      </c>
      <c r="D32" s="2" t="s">
        <v>490</v>
      </c>
      <c r="E32" s="2"/>
      <c r="F32" s="2"/>
      <c r="G32" s="2"/>
      <c r="H32" s="2"/>
      <c r="I32" s="2"/>
      <c r="J32" s="2" t="s">
        <v>542</v>
      </c>
      <c r="K32" s="2" t="s">
        <v>271</v>
      </c>
      <c r="L32" s="2" t="s">
        <v>271</v>
      </c>
      <c r="M32" s="2" t="s">
        <v>271</v>
      </c>
      <c r="N32" s="2" t="s">
        <v>490</v>
      </c>
      <c r="O32" s="2" t="s">
        <v>491</v>
      </c>
      <c r="P32" s="2" t="s">
        <v>515</v>
      </c>
      <c r="Q32" s="2">
        <v>2</v>
      </c>
      <c r="R32" s="2" t="s">
        <v>510</v>
      </c>
      <c r="S32" s="2" t="s">
        <v>494</v>
      </c>
      <c r="T32" s="2" t="s">
        <v>105</v>
      </c>
      <c r="U32" s="2">
        <f t="shared" si="0"/>
        <v>8</v>
      </c>
      <c r="V32" s="2" t="s">
        <v>543</v>
      </c>
      <c r="W32" s="2" t="b">
        <f t="shared" si="1"/>
        <v>0</v>
      </c>
    </row>
    <row r="33" spans="1:23" ht="28.5">
      <c r="A33" s="2" t="s">
        <v>290</v>
      </c>
      <c r="B33" s="2" t="s">
        <v>291</v>
      </c>
      <c r="C33" s="2" t="s">
        <v>502</v>
      </c>
      <c r="D33" s="2" t="s">
        <v>490</v>
      </c>
      <c r="E33" s="2">
        <f>'05_v0.2_Benchmark'!O20</f>
        <v>5</v>
      </c>
      <c r="F33" s="2">
        <f>'05_v0.2_Benchmark'!P20</f>
        <v>4</v>
      </c>
      <c r="G33" s="2">
        <f>'05_v0.2_Benchmark'!Q20</f>
        <v>4</v>
      </c>
      <c r="H33" s="2">
        <f>'05_v0.2_Benchmark'!R20</f>
        <v>232.6</v>
      </c>
      <c r="I33" s="2">
        <f>'05_v0.2_Benchmark'!S20</f>
        <v>7.1</v>
      </c>
      <c r="J33" s="2" t="str">
        <f>'05_v0.2_Benchmark'!T20</f>
        <v>NONE</v>
      </c>
      <c r="K33" s="2" t="str">
        <f>'05_v0.2_Benchmark'!U20</f>
        <v>NARROW</v>
      </c>
      <c r="L33" s="2" t="str">
        <f>'05_v0.2_Benchmark'!V20</f>
        <v>FALSE</v>
      </c>
      <c r="M33" s="2" t="str">
        <f>'05_v0.2_Benchmark'!W20</f>
        <v>ALL</v>
      </c>
      <c r="N33" s="2" t="str">
        <f>'05_v0.2_Benchmark'!X20</f>
        <v>ALL</v>
      </c>
      <c r="O33" s="2" t="s">
        <v>539</v>
      </c>
      <c r="P33" s="2"/>
      <c r="Q33" s="2">
        <v>1</v>
      </c>
      <c r="R33" s="2" t="s">
        <v>524</v>
      </c>
      <c r="S33" s="2" t="s">
        <v>489</v>
      </c>
      <c r="T33" s="2" t="s">
        <v>88</v>
      </c>
      <c r="U33" s="2">
        <f t="shared" si="0"/>
        <v>0</v>
      </c>
      <c r="V33" s="2" t="str">
        <f>IF(U33=0,"",_xludf.TEXTJOIN(", ",TRUE,IF(E33="","cushion_score",""),IF(F33="","stability_score",""),IF(G33="","responsiveness_score",""),IF(H33="","weight_g",""),IF(I33="","drop_mm",""),IF(J33="UNKNOWN","plate_type",""),IF(K33="UNKNOWN","fit_width",""),IF(L33="UNKNOWN","wide_option",""),IF(M33="UNKNOWN","runner_level_fit",""),IF(N33="UNKNOWN","distance_fit","")))</f>
        <v/>
      </c>
      <c r="W33" s="2" t="b">
        <f t="shared" si="1"/>
        <v>1</v>
      </c>
    </row>
    <row r="34" spans="1:23" ht="28.5">
      <c r="A34" s="2" t="s">
        <v>292</v>
      </c>
      <c r="B34" s="2" t="s">
        <v>296</v>
      </c>
      <c r="C34" s="2" t="s">
        <v>507</v>
      </c>
      <c r="D34" s="2"/>
      <c r="E34" s="2">
        <f>'05_v0.2_Benchmark'!O25</f>
        <v>5</v>
      </c>
      <c r="F34" s="2">
        <f>'05_v0.2_Benchmark'!P25</f>
        <v>3</v>
      </c>
      <c r="G34" s="2">
        <f>'05_v0.2_Benchmark'!Q25</f>
        <v>4</v>
      </c>
      <c r="H34" s="2">
        <f>'05_v0.2_Benchmark'!R25</f>
        <v>157.30000000000001</v>
      </c>
      <c r="I34" s="2">
        <f>'05_v0.2_Benchmark'!S25</f>
        <v>4.7</v>
      </c>
      <c r="J34" s="2" t="str">
        <f>'05_v0.2_Benchmark'!T25</f>
        <v>CARBON</v>
      </c>
      <c r="K34" s="2" t="str">
        <f>'05_v0.2_Benchmark'!U25</f>
        <v>NARROW</v>
      </c>
      <c r="L34" s="2" t="str">
        <f>'05_v0.2_Benchmark'!V25</f>
        <v>FALSE</v>
      </c>
      <c r="M34" s="2" t="str">
        <f>'05_v0.2_Benchmark'!W25</f>
        <v>ADVANCED</v>
      </c>
      <c r="N34" s="2" t="str">
        <f>'05_v0.2_Benchmark'!X25</f>
        <v>LONG</v>
      </c>
      <c r="O34" s="2" t="s">
        <v>544</v>
      </c>
      <c r="P34" s="2"/>
      <c r="Q34" s="2">
        <v>2</v>
      </c>
      <c r="R34" s="2" t="s">
        <v>524</v>
      </c>
      <c r="S34" s="2" t="s">
        <v>489</v>
      </c>
      <c r="T34" s="2" t="s">
        <v>88</v>
      </c>
      <c r="U34" s="2">
        <f t="shared" ref="U34:U62" si="2">COUNTBLANK(E34:I34)+IF(J34="UNKNOWN",1,0)+IF(K34="UNKNOWN",1,0)+IF(L34="UNKNOWN",1,0)+IF(M34="UNKNOWN",1,0)+IF(N34="UNKNOWN",1,0)</f>
        <v>0</v>
      </c>
      <c r="V34" s="2" t="str">
        <f>IF(U34=0,"",_xludf.TEXTJOIN(", ",TRUE,IF(E34="","cushion_score",""),IF(F34="","stability_score",""),IF(G34="","responsiveness_score",""),IF(H34="","weight_g",""),IF(I34="","drop_mm",""),IF(J34="UNKNOWN","plate_type",""),IF(K34="UNKNOWN","fit_width",""),IF(L34="UNKNOWN","wide_option",""),IF(M34="UNKNOWN","runner_level_fit",""),IF(N34="UNKNOWN","distance_fit","")))</f>
        <v/>
      </c>
      <c r="W34" s="2" t="b">
        <f t="shared" ref="W34:W62" si="3">AND(U34=0,T34="VERIFIED")</f>
        <v>1</v>
      </c>
    </row>
    <row r="35" spans="1:23" ht="85.5">
      <c r="A35" s="2" t="s">
        <v>299</v>
      </c>
      <c r="B35" s="2" t="s">
        <v>301</v>
      </c>
      <c r="C35" s="2" t="s">
        <v>507</v>
      </c>
      <c r="D35" s="2"/>
      <c r="E35" s="2"/>
      <c r="F35" s="2"/>
      <c r="G35" s="2"/>
      <c r="H35" s="2"/>
      <c r="I35" s="2"/>
      <c r="J35" s="2" t="s">
        <v>503</v>
      </c>
      <c r="K35" s="2" t="s">
        <v>271</v>
      </c>
      <c r="L35" s="2" t="s">
        <v>271</v>
      </c>
      <c r="M35" s="2" t="s">
        <v>508</v>
      </c>
      <c r="N35" s="2" t="s">
        <v>271</v>
      </c>
      <c r="O35" s="2" t="s">
        <v>496</v>
      </c>
      <c r="P35" s="2" t="s">
        <v>515</v>
      </c>
      <c r="Q35" s="2">
        <v>1</v>
      </c>
      <c r="R35" s="2" t="s">
        <v>497</v>
      </c>
      <c r="S35" s="2" t="s">
        <v>494</v>
      </c>
      <c r="T35" s="2" t="s">
        <v>105</v>
      </c>
      <c r="U35" s="2">
        <f t="shared" si="2"/>
        <v>8</v>
      </c>
      <c r="V35" s="2" t="s">
        <v>545</v>
      </c>
      <c r="W35" s="2" t="b">
        <f t="shared" si="3"/>
        <v>0</v>
      </c>
    </row>
    <row r="36" spans="1:23" ht="28.5">
      <c r="A36" s="2" t="s">
        <v>302</v>
      </c>
      <c r="B36" s="2" t="s">
        <v>304</v>
      </c>
      <c r="C36" s="2" t="s">
        <v>502</v>
      </c>
      <c r="D36" s="2"/>
      <c r="E36" s="2">
        <f>'05_v0.2_Benchmark'!O19</f>
        <v>4</v>
      </c>
      <c r="F36" s="2">
        <f>'05_v0.2_Benchmark'!P19</f>
        <v>4</v>
      </c>
      <c r="G36" s="2">
        <f>'05_v0.2_Benchmark'!Q19</f>
        <v>4</v>
      </c>
      <c r="H36" s="2">
        <f>'05_v0.2_Benchmark'!R19</f>
        <v>199.5</v>
      </c>
      <c r="I36" s="2">
        <f>'05_v0.2_Benchmark'!S19</f>
        <v>6.9</v>
      </c>
      <c r="J36" s="2" t="str">
        <f>'05_v0.2_Benchmark'!T19</f>
        <v>CARBON</v>
      </c>
      <c r="K36" s="2" t="str">
        <f>'05_v0.2_Benchmark'!U19</f>
        <v>NARROW</v>
      </c>
      <c r="L36" s="2" t="str">
        <f>'05_v0.2_Benchmark'!V19</f>
        <v>FALSE</v>
      </c>
      <c r="M36" s="2" t="str">
        <f>'05_v0.2_Benchmark'!W19</f>
        <v>INTERMEDIATE</v>
      </c>
      <c r="N36" s="2" t="str">
        <f>'05_v0.2_Benchmark'!X19</f>
        <v>MID</v>
      </c>
      <c r="O36" s="2"/>
      <c r="P36" s="2"/>
      <c r="Q36" s="2">
        <v>0</v>
      </c>
      <c r="R36" s="2" t="s">
        <v>488</v>
      </c>
      <c r="S36" s="2" t="s">
        <v>489</v>
      </c>
      <c r="T36" s="2" t="s">
        <v>88</v>
      </c>
      <c r="U36" s="2">
        <f t="shared" si="2"/>
        <v>0</v>
      </c>
      <c r="V36" s="2" t="str">
        <f>IF(U36=0,"",_xludf.TEXTJOIN(", ",TRUE,IF(E36="","cushion_score",""),IF(F36="","stability_score",""),IF(G36="","responsiveness_score",""),IF(H36="","weight_g",""),IF(I36="","drop_mm",""),IF(J36="UNKNOWN","plate_type",""),IF(K36="UNKNOWN","fit_width",""),IF(L36="UNKNOWN","wide_option",""),IF(M36="UNKNOWN","runner_level_fit",""),IF(N36="UNKNOWN","distance_fit","")))</f>
        <v/>
      </c>
      <c r="W36" s="2" t="b">
        <f t="shared" si="3"/>
        <v>1</v>
      </c>
    </row>
    <row r="37" spans="1:23" ht="85.5">
      <c r="A37" s="2" t="s">
        <v>307</v>
      </c>
      <c r="B37" s="2" t="s">
        <v>308</v>
      </c>
      <c r="C37" s="2" t="s">
        <v>502</v>
      </c>
      <c r="D37" s="2"/>
      <c r="E37" s="2"/>
      <c r="F37" s="2"/>
      <c r="G37" s="2"/>
      <c r="H37" s="2"/>
      <c r="I37" s="2"/>
      <c r="J37" s="2" t="s">
        <v>503</v>
      </c>
      <c r="K37" s="2" t="s">
        <v>271</v>
      </c>
      <c r="L37" s="2" t="s">
        <v>271</v>
      </c>
      <c r="M37" s="2" t="s">
        <v>520</v>
      </c>
      <c r="N37" s="2" t="s">
        <v>271</v>
      </c>
      <c r="O37" s="2" t="s">
        <v>486</v>
      </c>
      <c r="P37" s="2" t="s">
        <v>515</v>
      </c>
      <c r="Q37" s="2">
        <v>2</v>
      </c>
      <c r="R37" s="2" t="s">
        <v>510</v>
      </c>
      <c r="S37" s="2" t="s">
        <v>494</v>
      </c>
      <c r="T37" s="2" t="s">
        <v>105</v>
      </c>
      <c r="U37" s="2">
        <f t="shared" si="2"/>
        <v>8</v>
      </c>
      <c r="V37" s="2" t="s">
        <v>545</v>
      </c>
      <c r="W37" s="2" t="b">
        <f t="shared" si="3"/>
        <v>0</v>
      </c>
    </row>
    <row r="38" spans="1:23" ht="28.5">
      <c r="A38" s="2" t="s">
        <v>309</v>
      </c>
      <c r="B38" s="2" t="s">
        <v>314</v>
      </c>
      <c r="C38" s="2" t="s">
        <v>485</v>
      </c>
      <c r="D38" s="2"/>
      <c r="E38" s="2">
        <f>'05_v0.2_Benchmark'!O4</f>
        <v>4</v>
      </c>
      <c r="F38" s="2">
        <f>'05_v0.2_Benchmark'!P4</f>
        <v>4</v>
      </c>
      <c r="G38" s="2">
        <f>'05_v0.2_Benchmark'!Q4</f>
        <v>4</v>
      </c>
      <c r="H38" s="2">
        <f>'05_v0.2_Benchmark'!R4</f>
        <v>257.60000000000002</v>
      </c>
      <c r="I38" s="2">
        <f>'05_v0.2_Benchmark'!S4</f>
        <v>9.8000000000000007</v>
      </c>
      <c r="J38" s="2" t="str">
        <f>'05_v0.2_Benchmark'!T4</f>
        <v>NONE</v>
      </c>
      <c r="K38" s="2" t="str">
        <f>'05_v0.2_Benchmark'!U4</f>
        <v>NARROW</v>
      </c>
      <c r="L38" s="2" t="str">
        <f>'05_v0.2_Benchmark'!V4</f>
        <v>TRUE</v>
      </c>
      <c r="M38" s="2" t="str">
        <f>'05_v0.2_Benchmark'!W4</f>
        <v>ALL</v>
      </c>
      <c r="N38" s="2" t="str">
        <f>'05_v0.2_Benchmark'!X4</f>
        <v>ALL</v>
      </c>
      <c r="O38" s="2" t="s">
        <v>491</v>
      </c>
      <c r="P38" s="2" t="s">
        <v>546</v>
      </c>
      <c r="Q38" s="2">
        <v>4</v>
      </c>
      <c r="R38" s="2" t="s">
        <v>488</v>
      </c>
      <c r="S38" s="2" t="s">
        <v>489</v>
      </c>
      <c r="T38" s="2" t="s">
        <v>88</v>
      </c>
      <c r="U38" s="2">
        <f t="shared" si="2"/>
        <v>0</v>
      </c>
      <c r="V38" s="2" t="str">
        <f>IF(U38=0,"",_xludf.TEXTJOIN(", ",TRUE,IF(E38="","cushion_score",""),IF(F38="","stability_score",""),IF(G38="","responsiveness_score",""),IF(H38="","weight_g",""),IF(I38="","drop_mm",""),IF(J38="UNKNOWN","plate_type",""),IF(K38="UNKNOWN","fit_width",""),IF(L38="UNKNOWN","wide_option",""),IF(M38="UNKNOWN","runner_level_fit",""),IF(N38="UNKNOWN","distance_fit","")))</f>
        <v/>
      </c>
      <c r="W38" s="2" t="b">
        <f t="shared" si="3"/>
        <v>1</v>
      </c>
    </row>
    <row r="39" spans="1:23" ht="28.5">
      <c r="A39" s="2" t="s">
        <v>318</v>
      </c>
      <c r="B39" s="2" t="s">
        <v>321</v>
      </c>
      <c r="C39" s="2" t="s">
        <v>490</v>
      </c>
      <c r="D39" s="2" t="s">
        <v>512</v>
      </c>
      <c r="E39" s="2">
        <f>'05_v0.2_Benchmark'!O13</f>
        <v>4</v>
      </c>
      <c r="F39" s="2">
        <f>'05_v0.2_Benchmark'!P13</f>
        <v>4</v>
      </c>
      <c r="G39" s="2">
        <f>'05_v0.2_Benchmark'!Q13</f>
        <v>4</v>
      </c>
      <c r="H39" s="2">
        <f>'05_v0.2_Benchmark'!R13</f>
        <v>264.8</v>
      </c>
      <c r="I39" s="2">
        <f>'05_v0.2_Benchmark'!S13</f>
        <v>9.6</v>
      </c>
      <c r="J39" s="2" t="str">
        <f>'05_v0.2_Benchmark'!T13</f>
        <v>NONE</v>
      </c>
      <c r="K39" s="2" t="str">
        <f>'05_v0.2_Benchmark'!U13</f>
        <v>STANDARD</v>
      </c>
      <c r="L39" s="2" t="str">
        <f>'05_v0.2_Benchmark'!V13</f>
        <v>TRUE</v>
      </c>
      <c r="M39" s="2" t="str">
        <f>'05_v0.2_Benchmark'!W13</f>
        <v>ALL</v>
      </c>
      <c r="N39" s="2" t="str">
        <f>'05_v0.2_Benchmark'!X13</f>
        <v>LONG</v>
      </c>
      <c r="O39" s="2" t="s">
        <v>547</v>
      </c>
      <c r="P39" s="2" t="s">
        <v>530</v>
      </c>
      <c r="Q39" s="2">
        <v>5</v>
      </c>
      <c r="R39" s="2" t="s">
        <v>524</v>
      </c>
      <c r="S39" s="2" t="s">
        <v>489</v>
      </c>
      <c r="T39" s="2" t="s">
        <v>88</v>
      </c>
      <c r="U39" s="2">
        <f t="shared" si="2"/>
        <v>0</v>
      </c>
      <c r="V39" s="2" t="str">
        <f>IF(U39=0,"",_xludf.TEXTJOIN(", ",TRUE,IF(E39="","cushion_score",""),IF(F39="","stability_score",""),IF(G39="","responsiveness_score",""),IF(H39="","weight_g",""),IF(I39="","drop_mm",""),IF(J39="UNKNOWN","plate_type",""),IF(K39="UNKNOWN","fit_width",""),IF(L39="UNKNOWN","wide_option",""),IF(M39="UNKNOWN","runner_level_fit",""),IF(N39="UNKNOWN","distance_fit","")))</f>
        <v/>
      </c>
      <c r="W39" s="2" t="b">
        <f t="shared" si="3"/>
        <v>1</v>
      </c>
    </row>
    <row r="40" spans="1:23" ht="28.5">
      <c r="A40" s="2" t="s">
        <v>324</v>
      </c>
      <c r="B40" s="2" t="s">
        <v>326</v>
      </c>
      <c r="C40" s="2" t="s">
        <v>498</v>
      </c>
      <c r="D40" s="2"/>
      <c r="E40" s="2">
        <f>'05_v0.2_Benchmark'!O18</f>
        <v>4</v>
      </c>
      <c r="F40" s="2">
        <f>'05_v0.2_Benchmark'!P18</f>
        <v>5</v>
      </c>
      <c r="G40" s="2">
        <f>'05_v0.2_Benchmark'!Q18</f>
        <v>3</v>
      </c>
      <c r="H40" s="2">
        <f>'05_v0.2_Benchmark'!R18</f>
        <v>294.5</v>
      </c>
      <c r="I40" s="2">
        <f>'05_v0.2_Benchmark'!S18</f>
        <v>6.7</v>
      </c>
      <c r="J40" s="2" t="str">
        <f>'05_v0.2_Benchmark'!T18</f>
        <v>NONE</v>
      </c>
      <c r="K40" s="2" t="str">
        <f>'05_v0.2_Benchmark'!U18</f>
        <v>WIDE</v>
      </c>
      <c r="L40" s="2" t="str">
        <f>'05_v0.2_Benchmark'!V18</f>
        <v>TRUE</v>
      </c>
      <c r="M40" s="2" t="str">
        <f>'05_v0.2_Benchmark'!W18</f>
        <v>ALL</v>
      </c>
      <c r="N40" s="2" t="str">
        <f>'05_v0.2_Benchmark'!X18</f>
        <v>ALL</v>
      </c>
      <c r="O40" s="2" t="s">
        <v>548</v>
      </c>
      <c r="P40" s="2" t="s">
        <v>549</v>
      </c>
      <c r="Q40" s="2">
        <v>4</v>
      </c>
      <c r="R40" s="2" t="s">
        <v>488</v>
      </c>
      <c r="S40" s="2" t="s">
        <v>489</v>
      </c>
      <c r="T40" s="2" t="s">
        <v>88</v>
      </c>
      <c r="U40" s="2">
        <f t="shared" si="2"/>
        <v>0</v>
      </c>
      <c r="V40" s="2" t="str">
        <f>IF(U40=0,"",_xludf.TEXTJOIN(", ",TRUE,IF(E40="","cushion_score",""),IF(F40="","stability_score",""),IF(G40="","responsiveness_score",""),IF(H40="","weight_g",""),IF(I40="","drop_mm",""),IF(J40="UNKNOWN","plate_type",""),IF(K40="UNKNOWN","fit_width",""),IF(L40="UNKNOWN","wide_option",""),IF(M40="UNKNOWN","runner_level_fit",""),IF(N40="UNKNOWN","distance_fit","")))</f>
        <v/>
      </c>
      <c r="W40" s="2" t="b">
        <f t="shared" si="3"/>
        <v>1</v>
      </c>
    </row>
    <row r="41" spans="1:23" ht="28.5">
      <c r="A41" s="2" t="s">
        <v>329</v>
      </c>
      <c r="B41" s="2" t="s">
        <v>331</v>
      </c>
      <c r="C41" s="2" t="s">
        <v>502</v>
      </c>
      <c r="D41" s="2" t="s">
        <v>490</v>
      </c>
      <c r="E41" s="2">
        <f>'05_v0.2_Benchmark'!O22</f>
        <v>4</v>
      </c>
      <c r="F41" s="2">
        <f>'05_v0.2_Benchmark'!P22</f>
        <v>4</v>
      </c>
      <c r="G41" s="2">
        <f>'05_v0.2_Benchmark'!Q22</f>
        <v>4</v>
      </c>
      <c r="H41" s="2">
        <f>'05_v0.2_Benchmark'!R22</f>
        <v>239.2</v>
      </c>
      <c r="I41" s="2">
        <f>'05_v0.2_Benchmark'!S22</f>
        <v>8.4</v>
      </c>
      <c r="J41" s="2" t="str">
        <f>'05_v0.2_Benchmark'!T22</f>
        <v>NYLON</v>
      </c>
      <c r="K41" s="2" t="str">
        <f>'05_v0.2_Benchmark'!U22</f>
        <v>STANDARD</v>
      </c>
      <c r="L41" s="2" t="str">
        <f>'05_v0.2_Benchmark'!V22</f>
        <v>TRUE</v>
      </c>
      <c r="M41" s="2" t="str">
        <f>'05_v0.2_Benchmark'!W22</f>
        <v>INTERMEDIATE</v>
      </c>
      <c r="N41" s="2" t="str">
        <f>'05_v0.2_Benchmark'!X22</f>
        <v>ALL</v>
      </c>
      <c r="O41" s="2" t="s">
        <v>496</v>
      </c>
      <c r="P41" s="2" t="s">
        <v>522</v>
      </c>
      <c r="Q41" s="2">
        <v>6</v>
      </c>
      <c r="R41" s="2" t="s">
        <v>488</v>
      </c>
      <c r="S41" s="2" t="s">
        <v>489</v>
      </c>
      <c r="T41" s="2" t="s">
        <v>88</v>
      </c>
      <c r="U41" s="2">
        <f t="shared" si="2"/>
        <v>0</v>
      </c>
      <c r="V41" s="2" t="str">
        <f>IF(U41=0,"",_xludf.TEXTJOIN(", ",TRUE,IF(E41="","cushion_score",""),IF(F41="","stability_score",""),IF(G41="","responsiveness_score",""),IF(H41="","weight_g",""),IF(I41="","drop_mm",""),IF(J41="UNKNOWN","plate_type",""),IF(K41="UNKNOWN","fit_width",""),IF(L41="UNKNOWN","wide_option",""),IF(M41="UNKNOWN","runner_level_fit",""),IF(N41="UNKNOWN","distance_fit","")))</f>
        <v/>
      </c>
      <c r="W41" s="2" t="b">
        <f t="shared" si="3"/>
        <v>1</v>
      </c>
    </row>
    <row r="42" spans="1:23" ht="28.5">
      <c r="A42" s="2" t="s">
        <v>335</v>
      </c>
      <c r="B42" s="2" t="s">
        <v>337</v>
      </c>
      <c r="C42" s="2" t="s">
        <v>507</v>
      </c>
      <c r="D42" s="2"/>
      <c r="E42" s="2">
        <f>'05_v0.2_Benchmark'!O30</f>
        <v>4</v>
      </c>
      <c r="F42" s="2">
        <f>'05_v0.2_Benchmark'!P30</f>
        <v>4</v>
      </c>
      <c r="G42" s="2">
        <f>'05_v0.2_Benchmark'!Q30</f>
        <v>5</v>
      </c>
      <c r="H42" s="2">
        <f>'05_v0.2_Benchmark'!R30</f>
        <v>212.4</v>
      </c>
      <c r="I42" s="2">
        <f>'05_v0.2_Benchmark'!S30</f>
        <v>10.1</v>
      </c>
      <c r="J42" s="2" t="str">
        <f>'05_v0.2_Benchmark'!T30</f>
        <v>CARBON</v>
      </c>
      <c r="K42" s="2" t="str">
        <f>'05_v0.2_Benchmark'!U30</f>
        <v>STANDARD</v>
      </c>
      <c r="L42" s="2" t="str">
        <f>'05_v0.2_Benchmark'!V30</f>
        <v>FALSE</v>
      </c>
      <c r="M42" s="2" t="str">
        <f>'05_v0.2_Benchmark'!W30</f>
        <v>ADVANCED</v>
      </c>
      <c r="N42" s="2" t="str">
        <f>'05_v0.2_Benchmark'!X30</f>
        <v>LONG</v>
      </c>
      <c r="O42" s="2" t="s">
        <v>496</v>
      </c>
      <c r="P42" s="2" t="s">
        <v>550</v>
      </c>
      <c r="Q42" s="2">
        <v>3</v>
      </c>
      <c r="R42" s="2" t="s">
        <v>488</v>
      </c>
      <c r="S42" s="2" t="s">
        <v>489</v>
      </c>
      <c r="T42" s="2" t="s">
        <v>88</v>
      </c>
      <c r="U42" s="2">
        <f t="shared" si="2"/>
        <v>0</v>
      </c>
      <c r="V42" s="2" t="str">
        <f>IF(U42=0,"",_xludf.TEXTJOIN(", ",TRUE,IF(E42="","cushion_score",""),IF(F42="","stability_score",""),IF(G42="","responsiveness_score",""),IF(H42="","weight_g",""),IF(I42="","drop_mm",""),IF(J42="UNKNOWN","plate_type",""),IF(K42="UNKNOWN","fit_width",""),IF(L42="UNKNOWN","wide_option",""),IF(M42="UNKNOWN","runner_level_fit",""),IF(N42="UNKNOWN","distance_fit","")))</f>
        <v/>
      </c>
      <c r="W42" s="2" t="b">
        <f t="shared" si="3"/>
        <v>1</v>
      </c>
    </row>
    <row r="43" spans="1:23" ht="28.5">
      <c r="A43" s="2" t="s">
        <v>341</v>
      </c>
      <c r="B43" s="2" t="s">
        <v>346</v>
      </c>
      <c r="C43" s="2" t="s">
        <v>485</v>
      </c>
      <c r="D43" s="2"/>
      <c r="E43" s="2">
        <f>'05_v0.2_Benchmark'!O8</f>
        <v>4</v>
      </c>
      <c r="F43" s="2">
        <f>'05_v0.2_Benchmark'!P8</f>
        <v>4</v>
      </c>
      <c r="G43" s="2">
        <f>'05_v0.2_Benchmark'!Q8</f>
        <v>2</v>
      </c>
      <c r="H43" s="2">
        <f>'05_v0.2_Benchmark'!R8</f>
        <v>262.10000000000002</v>
      </c>
      <c r="I43" s="2">
        <f>'05_v0.2_Benchmark'!S8</f>
        <v>8.4</v>
      </c>
      <c r="J43" s="2" t="str">
        <f>'05_v0.2_Benchmark'!T8</f>
        <v>OTHER</v>
      </c>
      <c r="K43" s="2" t="str">
        <f>'05_v0.2_Benchmark'!U8</f>
        <v>NARROW</v>
      </c>
      <c r="L43" s="2" t="str">
        <f>'05_v0.2_Benchmark'!V8</f>
        <v>TRUE</v>
      </c>
      <c r="M43" s="2" t="str">
        <f>'05_v0.2_Benchmark'!W8</f>
        <v>ALL</v>
      </c>
      <c r="N43" s="2" t="str">
        <f>'05_v0.2_Benchmark'!X8</f>
        <v>ALL</v>
      </c>
      <c r="O43" s="2" t="s">
        <v>514</v>
      </c>
      <c r="P43" s="2"/>
      <c r="Q43" s="2">
        <v>5</v>
      </c>
      <c r="R43" s="2" t="s">
        <v>551</v>
      </c>
      <c r="S43" s="2" t="s">
        <v>489</v>
      </c>
      <c r="T43" s="2" t="s">
        <v>88</v>
      </c>
      <c r="U43" s="2">
        <f t="shared" si="2"/>
        <v>0</v>
      </c>
      <c r="V43" s="2" t="str">
        <f>IF(U43=0,"",_xludf.TEXTJOIN(", ",TRUE,IF(E43="","cushion_score",""),IF(F43="","stability_score",""),IF(G43="","responsiveness_score",""),IF(H43="","weight_g",""),IF(I43="","drop_mm",""),IF(J43="UNKNOWN","plate_type",""),IF(K43="UNKNOWN","fit_width",""),IF(L43="UNKNOWN","wide_option",""),IF(M43="UNKNOWN","runner_level_fit",""),IF(N43="UNKNOWN","distance_fit","")))</f>
        <v/>
      </c>
      <c r="W43" s="2" t="b">
        <f t="shared" si="3"/>
        <v>1</v>
      </c>
    </row>
    <row r="44" spans="1:23" ht="42.75">
      <c r="A44" s="2" t="s">
        <v>349</v>
      </c>
      <c r="B44" s="2" t="s">
        <v>352</v>
      </c>
      <c r="C44" s="2" t="s">
        <v>498</v>
      </c>
      <c r="D44" s="2"/>
      <c r="E44" s="2">
        <f>'05_v0.2_Benchmark'!O15</f>
        <v>3</v>
      </c>
      <c r="F44" s="2">
        <f>'05_v0.2_Benchmark'!P15</f>
        <v>4</v>
      </c>
      <c r="G44" s="2">
        <f>'05_v0.2_Benchmark'!Q15</f>
        <v>2</v>
      </c>
      <c r="H44" s="2">
        <f>'05_v0.2_Benchmark'!R15</f>
        <v>280</v>
      </c>
      <c r="I44" s="2">
        <f>'05_v0.2_Benchmark'!S15</f>
        <v>7.6</v>
      </c>
      <c r="J44" s="2" t="str">
        <f>'05_v0.2_Benchmark'!T15</f>
        <v>OTHER</v>
      </c>
      <c r="K44" s="2" t="str">
        <f>'05_v0.2_Benchmark'!U15</f>
        <v>STANDARD</v>
      </c>
      <c r="L44" s="2" t="str">
        <f>'05_v0.2_Benchmark'!V15</f>
        <v>TRUE</v>
      </c>
      <c r="M44" s="2" t="str">
        <f>'05_v0.2_Benchmark'!W15</f>
        <v>ALL</v>
      </c>
      <c r="N44" s="2" t="str">
        <f>'05_v0.2_Benchmark'!X15</f>
        <v>ALL</v>
      </c>
      <c r="O44" s="2" t="s">
        <v>496</v>
      </c>
      <c r="P44" s="2"/>
      <c r="Q44" s="2">
        <v>2</v>
      </c>
      <c r="R44" s="2" t="s">
        <v>500</v>
      </c>
      <c r="S44" s="2" t="s">
        <v>489</v>
      </c>
      <c r="T44" s="2" t="s">
        <v>88</v>
      </c>
      <c r="U44" s="2">
        <f t="shared" si="2"/>
        <v>0</v>
      </c>
      <c r="V44" s="2" t="str">
        <f>IF(U44=0,"",_xludf.TEXTJOIN(", ",TRUE,IF(E44="","cushion_score",""),IF(F44="","stability_score",""),IF(G44="","responsiveness_score",""),IF(H44="","weight_g",""),IF(I44="","drop_mm",""),IF(J44="UNKNOWN","plate_type",""),IF(K44="UNKNOWN","fit_width",""),IF(L44="UNKNOWN","wide_option",""),IF(M44="UNKNOWN","runner_level_fit",""),IF(N44="UNKNOWN","distance_fit","")))</f>
        <v/>
      </c>
      <c r="W44" s="2" t="b">
        <f t="shared" si="3"/>
        <v>1</v>
      </c>
    </row>
    <row r="45" spans="1:23" ht="85.5">
      <c r="A45" s="2" t="s">
        <v>355</v>
      </c>
      <c r="B45" s="2" t="s">
        <v>357</v>
      </c>
      <c r="C45" s="2" t="s">
        <v>490</v>
      </c>
      <c r="D45" s="2" t="s">
        <v>512</v>
      </c>
      <c r="E45" s="2"/>
      <c r="F45" s="2"/>
      <c r="G45" s="2"/>
      <c r="H45" s="2"/>
      <c r="I45" s="2"/>
      <c r="J45" s="2" t="s">
        <v>271</v>
      </c>
      <c r="K45" s="2" t="s">
        <v>513</v>
      </c>
      <c r="L45" s="2" t="s">
        <v>271</v>
      </c>
      <c r="M45" s="2" t="s">
        <v>271</v>
      </c>
      <c r="N45" s="2" t="s">
        <v>490</v>
      </c>
      <c r="O45" s="2" t="s">
        <v>514</v>
      </c>
      <c r="P45" s="2" t="s">
        <v>487</v>
      </c>
      <c r="Q45" s="2">
        <v>7</v>
      </c>
      <c r="R45" s="2" t="s">
        <v>535</v>
      </c>
      <c r="S45" s="2" t="s">
        <v>494</v>
      </c>
      <c r="T45" s="2" t="s">
        <v>105</v>
      </c>
      <c r="U45" s="2">
        <f t="shared" si="2"/>
        <v>8</v>
      </c>
      <c r="V45" s="2" t="s">
        <v>552</v>
      </c>
      <c r="W45" s="2" t="b">
        <f t="shared" si="3"/>
        <v>0</v>
      </c>
    </row>
    <row r="46" spans="1:23" ht="28.5">
      <c r="A46" s="2" t="s">
        <v>360</v>
      </c>
      <c r="B46" s="2" t="s">
        <v>362</v>
      </c>
      <c r="C46" s="2" t="s">
        <v>502</v>
      </c>
      <c r="D46" s="2"/>
      <c r="E46" s="2">
        <f>'05_v0.2_Benchmark'!O26</f>
        <v>5</v>
      </c>
      <c r="F46" s="2">
        <f>'05_v0.2_Benchmark'!P26</f>
        <v>4</v>
      </c>
      <c r="G46" s="2">
        <f>'05_v0.2_Benchmark'!Q26</f>
        <v>4</v>
      </c>
      <c r="H46" s="2">
        <f>'05_v0.2_Benchmark'!R26</f>
        <v>243.9</v>
      </c>
      <c r="I46" s="2">
        <f>'05_v0.2_Benchmark'!S26</f>
        <v>5.4</v>
      </c>
      <c r="J46" s="2" t="str">
        <f>'05_v0.2_Benchmark'!T26</f>
        <v>OTHER</v>
      </c>
      <c r="K46" s="2" t="str">
        <f>'05_v0.2_Benchmark'!U26</f>
        <v>STANDARD</v>
      </c>
      <c r="L46" s="2" t="str">
        <f>'05_v0.2_Benchmark'!V26</f>
        <v>FALSE</v>
      </c>
      <c r="M46" s="2" t="str">
        <f>'05_v0.2_Benchmark'!W26</f>
        <v>INTERMEDIATE</v>
      </c>
      <c r="N46" s="2" t="str">
        <f>'05_v0.2_Benchmark'!X26</f>
        <v>MID</v>
      </c>
      <c r="O46" s="2" t="s">
        <v>509</v>
      </c>
      <c r="P46" s="2" t="s">
        <v>553</v>
      </c>
      <c r="Q46" s="2">
        <v>4</v>
      </c>
      <c r="R46" s="2" t="s">
        <v>551</v>
      </c>
      <c r="S46" s="2" t="s">
        <v>489</v>
      </c>
      <c r="T46" s="2" t="s">
        <v>88</v>
      </c>
      <c r="U46" s="2">
        <f t="shared" si="2"/>
        <v>0</v>
      </c>
      <c r="V46" s="2" t="str">
        <f>IF(U46=0,"",_xludf.TEXTJOIN(", ",TRUE,IF(E46="","cushion_score",""),IF(F46="","stability_score",""),IF(G46="","responsiveness_score",""),IF(H46="","weight_g",""),IF(I46="","drop_mm",""),IF(J46="UNKNOWN","plate_type",""),IF(K46="UNKNOWN","fit_width",""),IF(L46="UNKNOWN","wide_option",""),IF(M46="UNKNOWN","runner_level_fit",""),IF(N46="UNKNOWN","distance_fit","")))</f>
        <v/>
      </c>
      <c r="W46" s="2" t="b">
        <f t="shared" si="3"/>
        <v>1</v>
      </c>
    </row>
    <row r="47" spans="1:23" ht="71.25">
      <c r="A47" s="2" t="s">
        <v>365</v>
      </c>
      <c r="B47" s="2" t="s">
        <v>367</v>
      </c>
      <c r="C47" s="2" t="s">
        <v>507</v>
      </c>
      <c r="D47" s="2"/>
      <c r="E47" s="2"/>
      <c r="F47" s="2"/>
      <c r="G47" s="2"/>
      <c r="H47" s="2"/>
      <c r="I47" s="2"/>
      <c r="J47" s="2" t="s">
        <v>503</v>
      </c>
      <c r="K47" s="2" t="s">
        <v>271</v>
      </c>
      <c r="L47" s="2" t="s">
        <v>271</v>
      </c>
      <c r="M47" s="2" t="s">
        <v>508</v>
      </c>
      <c r="N47" s="2" t="s">
        <v>490</v>
      </c>
      <c r="O47" s="2" t="s">
        <v>544</v>
      </c>
      <c r="P47" s="2" t="s">
        <v>534</v>
      </c>
      <c r="Q47" s="2">
        <v>4</v>
      </c>
      <c r="R47" s="2" t="s">
        <v>505</v>
      </c>
      <c r="S47" s="2" t="s">
        <v>494</v>
      </c>
      <c r="T47" s="2" t="s">
        <v>105</v>
      </c>
      <c r="U47" s="2">
        <f t="shared" si="2"/>
        <v>7</v>
      </c>
      <c r="V47" s="2" t="s">
        <v>511</v>
      </c>
      <c r="W47" s="2" t="b">
        <f t="shared" si="3"/>
        <v>0</v>
      </c>
    </row>
    <row r="48" spans="1:23" ht="28.5">
      <c r="A48" s="2" t="s">
        <v>371</v>
      </c>
      <c r="B48" s="2" t="s">
        <v>375</v>
      </c>
      <c r="C48" s="2" t="s">
        <v>485</v>
      </c>
      <c r="D48" s="2" t="s">
        <v>490</v>
      </c>
      <c r="E48" s="2">
        <f>'05_v0.2_Benchmark'!O12</f>
        <v>4</v>
      </c>
      <c r="F48" s="2">
        <f>'05_v0.2_Benchmark'!P12</f>
        <v>4</v>
      </c>
      <c r="G48" s="2">
        <f>'05_v0.2_Benchmark'!Q12</f>
        <v>4</v>
      </c>
      <c r="H48" s="2">
        <f>'05_v0.2_Benchmark'!R12</f>
        <v>232.3</v>
      </c>
      <c r="I48" s="2">
        <f>'05_v0.2_Benchmark'!S12</f>
        <v>10.1</v>
      </c>
      <c r="J48" s="2" t="str">
        <f>'05_v0.2_Benchmark'!T12</f>
        <v>NONE</v>
      </c>
      <c r="K48" s="2" t="str">
        <f>'05_v0.2_Benchmark'!U12</f>
        <v>NARROW</v>
      </c>
      <c r="L48" s="2" t="str">
        <f>'05_v0.2_Benchmark'!V12</f>
        <v>FALSE</v>
      </c>
      <c r="M48" s="2" t="str">
        <f>'05_v0.2_Benchmark'!W12</f>
        <v>ALL</v>
      </c>
      <c r="N48" s="2" t="str">
        <f>'05_v0.2_Benchmark'!X12</f>
        <v>ALL</v>
      </c>
      <c r="O48" s="2" t="s">
        <v>491</v>
      </c>
      <c r="P48" s="2" t="s">
        <v>554</v>
      </c>
      <c r="Q48" s="2">
        <v>9</v>
      </c>
      <c r="R48" s="2" t="s">
        <v>551</v>
      </c>
      <c r="S48" s="2" t="s">
        <v>489</v>
      </c>
      <c r="T48" s="2" t="s">
        <v>88</v>
      </c>
      <c r="U48" s="2">
        <f t="shared" si="2"/>
        <v>0</v>
      </c>
      <c r="V48" s="2" t="str">
        <f>IF(U48=0,"",_xludf.TEXTJOIN(", ",TRUE,IF(E48="","cushion_score",""),IF(F48="","stability_score",""),IF(G48="","responsiveness_score",""),IF(H48="","weight_g",""),IF(I48="","drop_mm",""),IF(J48="UNKNOWN","plate_type",""),IF(K48="UNKNOWN","fit_width",""),IF(L48="UNKNOWN","wide_option",""),IF(M48="UNKNOWN","runner_level_fit",""),IF(N48="UNKNOWN","distance_fit","")))</f>
        <v/>
      </c>
      <c r="W48" s="2" t="b">
        <f t="shared" si="3"/>
        <v>1</v>
      </c>
    </row>
    <row r="49" spans="1:23" ht="99.75">
      <c r="A49" s="2" t="s">
        <v>379</v>
      </c>
      <c r="B49" s="2" t="s">
        <v>381</v>
      </c>
      <c r="C49" s="2" t="s">
        <v>490</v>
      </c>
      <c r="D49" s="2" t="s">
        <v>512</v>
      </c>
      <c r="E49" s="2"/>
      <c r="F49" s="2"/>
      <c r="G49" s="2"/>
      <c r="H49" s="2"/>
      <c r="I49" s="2"/>
      <c r="J49" s="2" t="s">
        <v>271</v>
      </c>
      <c r="K49" s="2" t="s">
        <v>271</v>
      </c>
      <c r="L49" s="2" t="s">
        <v>271</v>
      </c>
      <c r="M49" s="2" t="s">
        <v>271</v>
      </c>
      <c r="N49" s="2" t="s">
        <v>490</v>
      </c>
      <c r="O49" s="2" t="s">
        <v>514</v>
      </c>
      <c r="P49" s="2" t="s">
        <v>553</v>
      </c>
      <c r="Q49" s="2">
        <v>7</v>
      </c>
      <c r="R49" s="2" t="s">
        <v>535</v>
      </c>
      <c r="S49" s="2" t="s">
        <v>494</v>
      </c>
      <c r="T49" s="2" t="s">
        <v>105</v>
      </c>
      <c r="U49" s="2">
        <f t="shared" si="2"/>
        <v>9</v>
      </c>
      <c r="V49" s="2" t="s">
        <v>495</v>
      </c>
      <c r="W49" s="2" t="b">
        <f t="shared" si="3"/>
        <v>0</v>
      </c>
    </row>
    <row r="50" spans="1:23" ht="99.75">
      <c r="A50" s="2" t="s">
        <v>385</v>
      </c>
      <c r="B50" s="2" t="s">
        <v>388</v>
      </c>
      <c r="C50" s="2" t="s">
        <v>498</v>
      </c>
      <c r="D50" s="2"/>
      <c r="E50" s="2"/>
      <c r="F50" s="2"/>
      <c r="G50" s="2"/>
      <c r="H50" s="2"/>
      <c r="I50" s="2"/>
      <c r="J50" s="2" t="s">
        <v>271</v>
      </c>
      <c r="K50" s="2" t="s">
        <v>271</v>
      </c>
      <c r="L50" s="2" t="s">
        <v>555</v>
      </c>
      <c r="M50" s="2" t="s">
        <v>271</v>
      </c>
      <c r="N50" s="2" t="s">
        <v>271</v>
      </c>
      <c r="O50" s="2" t="s">
        <v>547</v>
      </c>
      <c r="P50" s="2" t="s">
        <v>492</v>
      </c>
      <c r="Q50" s="2">
        <v>6</v>
      </c>
      <c r="R50" s="2" t="s">
        <v>538</v>
      </c>
      <c r="S50" s="2" t="s">
        <v>494</v>
      </c>
      <c r="T50" s="2" t="s">
        <v>105</v>
      </c>
      <c r="U50" s="2">
        <f t="shared" si="2"/>
        <v>9</v>
      </c>
      <c r="V50" s="2" t="s">
        <v>556</v>
      </c>
      <c r="W50" s="2" t="b">
        <f t="shared" si="3"/>
        <v>0</v>
      </c>
    </row>
    <row r="51" spans="1:23" ht="28.5">
      <c r="A51" s="2" t="s">
        <v>392</v>
      </c>
      <c r="B51" s="2" t="s">
        <v>394</v>
      </c>
      <c r="C51" s="2" t="s">
        <v>502</v>
      </c>
      <c r="D51" s="2" t="s">
        <v>490</v>
      </c>
      <c r="E51" s="2">
        <f>'05_v0.2_Benchmark'!O28</f>
        <v>4</v>
      </c>
      <c r="F51" s="2">
        <f>'05_v0.2_Benchmark'!P28</f>
        <v>4</v>
      </c>
      <c r="G51" s="2">
        <f>'05_v0.2_Benchmark'!Q28</f>
        <v>4</v>
      </c>
      <c r="H51" s="2">
        <f>'05_v0.2_Benchmark'!R28</f>
        <v>244.4</v>
      </c>
      <c r="I51" s="2">
        <f>'05_v0.2_Benchmark'!S28</f>
        <v>7</v>
      </c>
      <c r="J51" s="2" t="str">
        <f>'05_v0.2_Benchmark'!T28</f>
        <v>CARBON</v>
      </c>
      <c r="K51" s="2" t="str">
        <f>'05_v0.2_Benchmark'!U28</f>
        <v>NARROW</v>
      </c>
      <c r="L51" s="2" t="str">
        <f>'05_v0.2_Benchmark'!V28</f>
        <v>TRUE</v>
      </c>
      <c r="M51" s="2" t="str">
        <f>'05_v0.2_Benchmark'!W28</f>
        <v>INTERMEDIATE</v>
      </c>
      <c r="N51" s="2" t="str">
        <f>'05_v0.2_Benchmark'!X28</f>
        <v>ALL</v>
      </c>
      <c r="O51" s="2" t="s">
        <v>547</v>
      </c>
      <c r="P51" s="2" t="s">
        <v>519</v>
      </c>
      <c r="Q51" s="2">
        <v>5</v>
      </c>
      <c r="R51" s="2" t="s">
        <v>551</v>
      </c>
      <c r="S51" s="2" t="s">
        <v>489</v>
      </c>
      <c r="T51" s="2" t="s">
        <v>88</v>
      </c>
      <c r="U51" s="2">
        <f t="shared" si="2"/>
        <v>0</v>
      </c>
      <c r="V51" s="2" t="str">
        <f>IF(U51=0,"",_xludf.TEXTJOIN(", ",TRUE,IF(E51="","cushion_score",""),IF(F51="","stability_score",""),IF(G51="","responsiveness_score",""),IF(H51="","weight_g",""),IF(I51="","drop_mm",""),IF(J51="UNKNOWN","plate_type",""),IF(K51="UNKNOWN","fit_width",""),IF(L51="UNKNOWN","wide_option",""),IF(M51="UNKNOWN","runner_level_fit",""),IF(N51="UNKNOWN","distance_fit","")))</f>
        <v/>
      </c>
      <c r="W51" s="2" t="b">
        <f t="shared" si="3"/>
        <v>1</v>
      </c>
    </row>
    <row r="52" spans="1:23" ht="28.5">
      <c r="A52" s="2" t="s">
        <v>397</v>
      </c>
      <c r="B52" s="2" t="s">
        <v>399</v>
      </c>
      <c r="C52" s="2" t="s">
        <v>507</v>
      </c>
      <c r="D52" s="2"/>
      <c r="E52" s="2">
        <f>'05_v0.2_Benchmark'!O29</f>
        <v>5</v>
      </c>
      <c r="F52" s="2">
        <f>'05_v0.2_Benchmark'!P29</f>
        <v>3</v>
      </c>
      <c r="G52" s="2">
        <f>'05_v0.2_Benchmark'!Q29</f>
        <v>4</v>
      </c>
      <c r="H52" s="2">
        <f>'05_v0.2_Benchmark'!R29</f>
        <v>173.3</v>
      </c>
      <c r="I52" s="2">
        <f>'05_v0.2_Benchmark'!S29</f>
        <v>8.9</v>
      </c>
      <c r="J52" s="2" t="str">
        <f>'05_v0.2_Benchmark'!T29</f>
        <v>CARBON</v>
      </c>
      <c r="K52" s="2" t="str">
        <f>'05_v0.2_Benchmark'!U29</f>
        <v>NARROW</v>
      </c>
      <c r="L52" s="2" t="str">
        <f>'05_v0.2_Benchmark'!V29</f>
        <v>FALSE</v>
      </c>
      <c r="M52" s="2" t="str">
        <f>'05_v0.2_Benchmark'!W29</f>
        <v>ADVANCED</v>
      </c>
      <c r="N52" s="2" t="str">
        <f>'05_v0.2_Benchmark'!X29</f>
        <v>LONG</v>
      </c>
      <c r="O52" s="2" t="s">
        <v>533</v>
      </c>
      <c r="P52" s="2" t="s">
        <v>557</v>
      </c>
      <c r="Q52" s="2">
        <v>7</v>
      </c>
      <c r="R52" s="2" t="s">
        <v>524</v>
      </c>
      <c r="S52" s="2" t="s">
        <v>489</v>
      </c>
      <c r="T52" s="2" t="s">
        <v>88</v>
      </c>
      <c r="U52" s="2">
        <f t="shared" si="2"/>
        <v>0</v>
      </c>
      <c r="V52" s="2" t="str">
        <f>IF(U52=0,"",_xludf.TEXTJOIN(", ",TRUE,IF(E52="","cushion_score",""),IF(F52="","stability_score",""),IF(G52="","responsiveness_score",""),IF(H52="","weight_g",""),IF(I52="","drop_mm",""),IF(J52="UNKNOWN","plate_type",""),IF(K52="UNKNOWN","fit_width",""),IF(L52="UNKNOWN","wide_option",""),IF(M52="UNKNOWN","runner_level_fit",""),IF(N52="UNKNOWN","distance_fit","")))</f>
        <v/>
      </c>
      <c r="W52" s="2" t="b">
        <f t="shared" si="3"/>
        <v>1</v>
      </c>
    </row>
    <row r="53" spans="1:23" ht="85.5">
      <c r="A53" s="2" t="s">
        <v>403</v>
      </c>
      <c r="B53" s="2" t="s">
        <v>407</v>
      </c>
      <c r="C53" s="2" t="s">
        <v>485</v>
      </c>
      <c r="D53" s="2"/>
      <c r="E53" s="2"/>
      <c r="F53" s="2"/>
      <c r="G53" s="2"/>
      <c r="H53" s="2"/>
      <c r="I53" s="2"/>
      <c r="J53" s="2" t="s">
        <v>271</v>
      </c>
      <c r="K53" s="2" t="s">
        <v>513</v>
      </c>
      <c r="L53" s="2" t="s">
        <v>271</v>
      </c>
      <c r="M53" s="2" t="s">
        <v>520</v>
      </c>
      <c r="N53" s="2" t="s">
        <v>271</v>
      </c>
      <c r="O53" s="2" t="s">
        <v>514</v>
      </c>
      <c r="P53" s="2" t="s">
        <v>558</v>
      </c>
      <c r="Q53" s="2">
        <v>3</v>
      </c>
      <c r="R53" s="2" t="s">
        <v>559</v>
      </c>
      <c r="S53" s="2" t="s">
        <v>494</v>
      </c>
      <c r="T53" s="2" t="s">
        <v>105</v>
      </c>
      <c r="U53" s="2">
        <f t="shared" si="2"/>
        <v>8</v>
      </c>
      <c r="V53" s="2" t="s">
        <v>560</v>
      </c>
      <c r="W53" s="2" t="b">
        <f t="shared" si="3"/>
        <v>0</v>
      </c>
    </row>
    <row r="54" spans="1:23" ht="28.5">
      <c r="A54" s="2" t="s">
        <v>410</v>
      </c>
      <c r="B54" s="2" t="s">
        <v>412</v>
      </c>
      <c r="C54" s="2" t="s">
        <v>485</v>
      </c>
      <c r="D54" s="2"/>
      <c r="E54" s="2">
        <f>'05_v0.2_Benchmark'!O3</f>
        <v>4</v>
      </c>
      <c r="F54" s="2">
        <f>'05_v0.2_Benchmark'!P3</f>
        <v>4</v>
      </c>
      <c r="G54" s="2">
        <f>'05_v0.2_Benchmark'!Q3</f>
        <v>1</v>
      </c>
      <c r="H54" s="2">
        <f>'05_v0.2_Benchmark'!R3</f>
        <v>252.9</v>
      </c>
      <c r="I54" s="2">
        <f>'05_v0.2_Benchmark'!S3</f>
        <v>8.6</v>
      </c>
      <c r="J54" s="2" t="str">
        <f>'05_v0.2_Benchmark'!T3</f>
        <v>NONE</v>
      </c>
      <c r="K54" s="2" t="str">
        <f>'05_v0.2_Benchmark'!U3</f>
        <v>STANDARD</v>
      </c>
      <c r="L54" s="2" t="str">
        <f>'05_v0.2_Benchmark'!V3</f>
        <v>FALSE</v>
      </c>
      <c r="M54" s="2" t="str">
        <f>'05_v0.2_Benchmark'!W3</f>
        <v>ALL</v>
      </c>
      <c r="N54" s="2" t="str">
        <f>'05_v0.2_Benchmark'!X3</f>
        <v>ALL</v>
      </c>
      <c r="O54" s="2" t="s">
        <v>496</v>
      </c>
      <c r="P54" s="2" t="s">
        <v>530</v>
      </c>
      <c r="Q54" s="2">
        <v>5</v>
      </c>
      <c r="R54" s="2" t="s">
        <v>551</v>
      </c>
      <c r="S54" s="2" t="s">
        <v>489</v>
      </c>
      <c r="T54" s="2" t="s">
        <v>88</v>
      </c>
      <c r="U54" s="2">
        <f t="shared" si="2"/>
        <v>0</v>
      </c>
      <c r="V54" s="2" t="str">
        <f>IF(U54=0,"",_xludf.TEXTJOIN(", ",TRUE,IF(E54="","cushion_score",""),IF(F54="","stability_score",""),IF(G54="","responsiveness_score",""),IF(H54="","weight_g",""),IF(I54="","drop_mm",""),IF(J54="UNKNOWN","plate_type",""),IF(K54="UNKNOWN","fit_width",""),IF(L54="UNKNOWN","wide_option",""),IF(M54="UNKNOWN","runner_level_fit",""),IF(N54="UNKNOWN","distance_fit","")))</f>
        <v/>
      </c>
      <c r="W54" s="2" t="b">
        <f t="shared" si="3"/>
        <v>1</v>
      </c>
    </row>
    <row r="55" spans="1:23" ht="99.75">
      <c r="A55" s="2" t="s">
        <v>415</v>
      </c>
      <c r="B55" s="2" t="s">
        <v>417</v>
      </c>
      <c r="C55" s="2" t="s">
        <v>490</v>
      </c>
      <c r="D55" s="2" t="s">
        <v>485</v>
      </c>
      <c r="E55" s="2"/>
      <c r="F55" s="2"/>
      <c r="G55" s="2"/>
      <c r="H55" s="2"/>
      <c r="I55" s="2"/>
      <c r="J55" s="2" t="s">
        <v>271</v>
      </c>
      <c r="K55" s="2" t="s">
        <v>271</v>
      </c>
      <c r="L55" s="2" t="s">
        <v>271</v>
      </c>
      <c r="M55" s="2" t="s">
        <v>271</v>
      </c>
      <c r="N55" s="2" t="s">
        <v>490</v>
      </c>
      <c r="O55" s="2" t="s">
        <v>496</v>
      </c>
      <c r="P55" s="2" t="s">
        <v>492</v>
      </c>
      <c r="Q55" s="2">
        <v>5</v>
      </c>
      <c r="R55" s="2" t="s">
        <v>516</v>
      </c>
      <c r="S55" s="2" t="s">
        <v>494</v>
      </c>
      <c r="T55" s="2" t="s">
        <v>105</v>
      </c>
      <c r="U55" s="2">
        <f t="shared" si="2"/>
        <v>9</v>
      </c>
      <c r="V55" s="2" t="s">
        <v>495</v>
      </c>
      <c r="W55" s="2" t="b">
        <f t="shared" si="3"/>
        <v>0</v>
      </c>
    </row>
    <row r="56" spans="1:23" ht="99.75">
      <c r="A56" s="2" t="s">
        <v>421</v>
      </c>
      <c r="B56" s="2" t="s">
        <v>423</v>
      </c>
      <c r="C56" s="2" t="s">
        <v>502</v>
      </c>
      <c r="D56" s="2" t="s">
        <v>485</v>
      </c>
      <c r="E56" s="2"/>
      <c r="F56" s="2"/>
      <c r="G56" s="2"/>
      <c r="H56" s="2"/>
      <c r="I56" s="2"/>
      <c r="J56" s="2" t="s">
        <v>271</v>
      </c>
      <c r="K56" s="2" t="s">
        <v>513</v>
      </c>
      <c r="L56" s="2" t="s">
        <v>271</v>
      </c>
      <c r="M56" s="2" t="s">
        <v>271</v>
      </c>
      <c r="N56" s="2" t="s">
        <v>271</v>
      </c>
      <c r="O56" s="2" t="s">
        <v>561</v>
      </c>
      <c r="P56" s="2"/>
      <c r="Q56" s="2">
        <v>6</v>
      </c>
      <c r="R56" s="2" t="s">
        <v>538</v>
      </c>
      <c r="S56" s="2" t="s">
        <v>494</v>
      </c>
      <c r="T56" s="2" t="s">
        <v>105</v>
      </c>
      <c r="U56" s="2">
        <f t="shared" si="2"/>
        <v>9</v>
      </c>
      <c r="V56" s="2" t="s">
        <v>536</v>
      </c>
      <c r="W56" s="2" t="b">
        <f t="shared" si="3"/>
        <v>0</v>
      </c>
    </row>
    <row r="57" spans="1:23" ht="85.5">
      <c r="A57" s="2" t="s">
        <v>426</v>
      </c>
      <c r="B57" s="2" t="s">
        <v>428</v>
      </c>
      <c r="C57" s="2" t="s">
        <v>507</v>
      </c>
      <c r="D57" s="2"/>
      <c r="E57" s="2"/>
      <c r="F57" s="2"/>
      <c r="G57" s="2"/>
      <c r="H57" s="2"/>
      <c r="I57" s="2"/>
      <c r="J57" s="2" t="s">
        <v>503</v>
      </c>
      <c r="K57" s="2" t="s">
        <v>513</v>
      </c>
      <c r="L57" s="2" t="s">
        <v>271</v>
      </c>
      <c r="M57" s="2" t="s">
        <v>271</v>
      </c>
      <c r="N57" s="2" t="s">
        <v>490</v>
      </c>
      <c r="O57" s="2" t="s">
        <v>531</v>
      </c>
      <c r="P57" s="2" t="s">
        <v>562</v>
      </c>
      <c r="Q57" s="2">
        <v>12</v>
      </c>
      <c r="R57" s="2" t="s">
        <v>563</v>
      </c>
      <c r="S57" s="2" t="s">
        <v>494</v>
      </c>
      <c r="T57" s="2" t="s">
        <v>105</v>
      </c>
      <c r="U57" s="2">
        <f t="shared" si="2"/>
        <v>7</v>
      </c>
      <c r="V57" s="2" t="s">
        <v>564</v>
      </c>
      <c r="W57" s="2" t="b">
        <f t="shared" si="3"/>
        <v>0</v>
      </c>
    </row>
    <row r="58" spans="1:23" ht="99.75">
      <c r="A58" s="2" t="s">
        <v>431</v>
      </c>
      <c r="B58" s="2" t="s">
        <v>435</v>
      </c>
      <c r="C58" s="2" t="s">
        <v>485</v>
      </c>
      <c r="D58" s="2"/>
      <c r="E58" s="2"/>
      <c r="F58" s="2"/>
      <c r="G58" s="2"/>
      <c r="H58" s="2"/>
      <c r="I58" s="2"/>
      <c r="J58" s="2" t="s">
        <v>271</v>
      </c>
      <c r="K58" s="2" t="s">
        <v>271</v>
      </c>
      <c r="L58" s="2" t="s">
        <v>271</v>
      </c>
      <c r="M58" s="2" t="s">
        <v>520</v>
      </c>
      <c r="N58" s="2" t="s">
        <v>271</v>
      </c>
      <c r="O58" s="2" t="s">
        <v>486</v>
      </c>
      <c r="P58" s="2"/>
      <c r="Q58" s="2">
        <v>5</v>
      </c>
      <c r="R58" s="2" t="s">
        <v>516</v>
      </c>
      <c r="S58" s="2" t="s">
        <v>494</v>
      </c>
      <c r="T58" s="2" t="s">
        <v>105</v>
      </c>
      <c r="U58" s="2">
        <f t="shared" si="2"/>
        <v>9</v>
      </c>
      <c r="V58" s="2" t="s">
        <v>528</v>
      </c>
      <c r="W58" s="2" t="b">
        <f t="shared" si="3"/>
        <v>0</v>
      </c>
    </row>
    <row r="59" spans="1:23" ht="99.75">
      <c r="A59" s="2" t="s">
        <v>440</v>
      </c>
      <c r="B59" s="2" t="s">
        <v>442</v>
      </c>
      <c r="C59" s="2" t="s">
        <v>490</v>
      </c>
      <c r="D59" s="2" t="s">
        <v>512</v>
      </c>
      <c r="E59" s="2"/>
      <c r="F59" s="2"/>
      <c r="G59" s="2"/>
      <c r="H59" s="2"/>
      <c r="I59" s="2"/>
      <c r="J59" s="2" t="s">
        <v>271</v>
      </c>
      <c r="K59" s="2" t="s">
        <v>271</v>
      </c>
      <c r="L59" s="2" t="s">
        <v>271</v>
      </c>
      <c r="M59" s="2" t="s">
        <v>271</v>
      </c>
      <c r="N59" s="2" t="s">
        <v>490</v>
      </c>
      <c r="O59" s="2" t="s">
        <v>514</v>
      </c>
      <c r="P59" s="2" t="s">
        <v>546</v>
      </c>
      <c r="Q59" s="2">
        <v>5</v>
      </c>
      <c r="R59" s="2" t="s">
        <v>516</v>
      </c>
      <c r="S59" s="2" t="s">
        <v>494</v>
      </c>
      <c r="T59" s="2" t="s">
        <v>105</v>
      </c>
      <c r="U59" s="2">
        <f t="shared" si="2"/>
        <v>9</v>
      </c>
      <c r="V59" s="2" t="s">
        <v>495</v>
      </c>
      <c r="W59" s="2" t="b">
        <f t="shared" si="3"/>
        <v>0</v>
      </c>
    </row>
    <row r="60" spans="1:23" ht="99.75">
      <c r="A60" s="2" t="s">
        <v>446</v>
      </c>
      <c r="B60" s="2" t="s">
        <v>449</v>
      </c>
      <c r="C60" s="2" t="s">
        <v>498</v>
      </c>
      <c r="D60" s="2"/>
      <c r="E60" s="2"/>
      <c r="F60" s="2"/>
      <c r="G60" s="2"/>
      <c r="H60" s="2"/>
      <c r="I60" s="2"/>
      <c r="J60" s="2" t="s">
        <v>271</v>
      </c>
      <c r="K60" s="2" t="s">
        <v>513</v>
      </c>
      <c r="L60" s="2" t="s">
        <v>271</v>
      </c>
      <c r="M60" s="2" t="s">
        <v>271</v>
      </c>
      <c r="N60" s="2" t="s">
        <v>271</v>
      </c>
      <c r="O60" s="2" t="s">
        <v>514</v>
      </c>
      <c r="P60" s="2" t="s">
        <v>565</v>
      </c>
      <c r="Q60" s="2">
        <v>10</v>
      </c>
      <c r="R60" s="2" t="s">
        <v>566</v>
      </c>
      <c r="S60" s="2" t="s">
        <v>494</v>
      </c>
      <c r="T60" s="2" t="s">
        <v>105</v>
      </c>
      <c r="U60" s="2">
        <f t="shared" si="2"/>
        <v>9</v>
      </c>
      <c r="V60" s="2" t="s">
        <v>536</v>
      </c>
      <c r="W60" s="2" t="b">
        <f t="shared" si="3"/>
        <v>0</v>
      </c>
    </row>
    <row r="61" spans="1:23" ht="99.75">
      <c r="A61" s="2" t="s">
        <v>453</v>
      </c>
      <c r="B61" s="2" t="s">
        <v>455</v>
      </c>
      <c r="C61" s="2" t="s">
        <v>490</v>
      </c>
      <c r="D61" s="2"/>
      <c r="E61" s="2"/>
      <c r="F61" s="2"/>
      <c r="G61" s="2"/>
      <c r="H61" s="2"/>
      <c r="I61" s="2"/>
      <c r="J61" s="2" t="s">
        <v>271</v>
      </c>
      <c r="K61" s="2" t="s">
        <v>271</v>
      </c>
      <c r="L61" s="2" t="s">
        <v>271</v>
      </c>
      <c r="M61" s="2" t="s">
        <v>271</v>
      </c>
      <c r="N61" s="2" t="s">
        <v>490</v>
      </c>
      <c r="O61" s="2" t="s">
        <v>548</v>
      </c>
      <c r="P61" s="2" t="s">
        <v>499</v>
      </c>
      <c r="Q61" s="2">
        <v>6</v>
      </c>
      <c r="R61" s="2" t="s">
        <v>538</v>
      </c>
      <c r="S61" s="2" t="s">
        <v>494</v>
      </c>
      <c r="T61" s="2" t="s">
        <v>105</v>
      </c>
      <c r="U61" s="2">
        <f t="shared" si="2"/>
        <v>9</v>
      </c>
      <c r="V61" s="2" t="s">
        <v>495</v>
      </c>
      <c r="W61" s="2" t="b">
        <f t="shared" si="3"/>
        <v>0</v>
      </c>
    </row>
    <row r="62" spans="1:23" ht="71.25">
      <c r="A62" s="2" t="s">
        <v>459</v>
      </c>
      <c r="B62" s="2" t="s">
        <v>461</v>
      </c>
      <c r="C62" s="2" t="s">
        <v>507</v>
      </c>
      <c r="D62" s="2"/>
      <c r="E62" s="2"/>
      <c r="F62" s="2"/>
      <c r="G62" s="2"/>
      <c r="H62" s="2"/>
      <c r="I62" s="2"/>
      <c r="J62" s="2" t="s">
        <v>503</v>
      </c>
      <c r="K62" s="2" t="s">
        <v>513</v>
      </c>
      <c r="L62" s="2" t="s">
        <v>271</v>
      </c>
      <c r="M62" s="2" t="s">
        <v>508</v>
      </c>
      <c r="N62" s="2" t="s">
        <v>567</v>
      </c>
      <c r="O62" s="2" t="s">
        <v>533</v>
      </c>
      <c r="P62" s="2" t="s">
        <v>568</v>
      </c>
      <c r="Q62" s="2">
        <v>6</v>
      </c>
      <c r="R62" s="2" t="s">
        <v>538</v>
      </c>
      <c r="S62" s="2" t="s">
        <v>494</v>
      </c>
      <c r="T62" s="2" t="s">
        <v>105</v>
      </c>
      <c r="U62" s="2">
        <f t="shared" si="2"/>
        <v>6</v>
      </c>
      <c r="V62" s="2" t="s">
        <v>569</v>
      </c>
      <c r="W62" s="2" t="b">
        <f t="shared" si="3"/>
        <v>0</v>
      </c>
    </row>
  </sheetData>
  <phoneticPr fontId="5" type="noConversion"/>
  <conditionalFormatting sqref="U2:U62">
    <cfRule type="dataBar" priority="1">
      <dataBar>
        <cfvo type="min"/>
        <cfvo type="max"/>
        <color rgb="FFC55A11"/>
      </dataBar>
    </cfRule>
    <cfRule type="dataBar" priority="4">
      <dataBar>
        <cfvo type="min"/>
        <cfvo type="max"/>
        <color rgb="FFC55A11"/>
      </dataBar>
      <extLst>
        <ext xmlns:x14="http://schemas.microsoft.com/office/spreadsheetml/2009/9/main" uri="{B025F937-C7B1-47D3-B67F-A62EFF666E3E}">
          <x14:id>{363E3FAF-A072-54B2-BEDC-239FB51BE090}</x14:id>
        </ext>
      </extLst>
    </cfRule>
  </conditionalFormatting>
  <conditionalFormatting sqref="W2:W62">
    <cfRule type="expression" dxfId="8" priority="2">
      <formula>W2=TRUE</formula>
    </cfRule>
    <cfRule type="expression" dxfId="7" priority="3">
      <formula>W2=FALSE</formula>
    </cfRule>
  </conditionalFormatting>
  <dataValidations count="8">
    <dataValidation type="list" sqref="C2:C200" xr:uid="{00000000-0002-0000-0200-000000000000}">
      <formula1>"DAILY,LONG,RECOVERY,STABILITY,TEMPO,RACE"</formula1>
    </dataValidation>
    <dataValidation type="list" sqref="E2:G200" xr:uid="{00000000-0002-0000-0200-000001000000}">
      <formula1>"1,2,3,4,5"</formula1>
    </dataValidation>
    <dataValidation type="list" sqref="J2:J200" xr:uid="{00000000-0002-0000-0200-000002000000}">
      <formula1>"NONE,NYLON,CARBON,OTHER,UNKNOWN"</formula1>
    </dataValidation>
    <dataValidation type="list" sqref="K2:K200" xr:uid="{00000000-0002-0000-0200-000003000000}">
      <formula1>"NARROW,STANDARD,WIDE,UNKNOWN"</formula1>
    </dataValidation>
    <dataValidation type="list" sqref="L2:L200" xr:uid="{00000000-0002-0000-0200-000004000000}">
      <formula1>"TRUE,FALSE,UNKNOWN"</formula1>
    </dataValidation>
    <dataValidation type="list" sqref="M2:M200" xr:uid="{00000000-0002-0000-0200-000005000000}">
      <formula1>"BEGINNER,INTERMEDIATE,ADVANCED,ALL,UNKNOWN"</formula1>
    </dataValidation>
    <dataValidation type="list" sqref="N2:N200" xr:uid="{00000000-0002-0000-0200-000006000000}">
      <formula1>"SHORT,MID,LONG,ALL,UNKNOWN"</formula1>
    </dataValidation>
    <dataValidation type="list" sqref="T2:T200" xr:uid="{00000000-0002-0000-0200-000007000000}">
      <formula1>"DRAFT,VERIFIED,STALE,EXCLUDED"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63E3FAF-A072-54B2-BEDC-239FB51BE090}">
            <x14:dataBar>
              <x14:cfvo type="min"/>
              <x14:cfvo type="max"/>
              <x14:negativeFillColor auto="1"/>
              <x14:axisColor auto="1"/>
            </x14:dataBar>
          </x14:cfRule>
          <xm:sqref>U2:U62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98"/>
  <sheetViews>
    <sheetView workbookViewId="0"/>
  </sheetViews>
  <sheetFormatPr defaultRowHeight="14.25"/>
  <cols>
    <col min="1" max="1" width="13" customWidth="1"/>
    <col min="2" max="2" width="28" customWidth="1"/>
    <col min="3" max="5" width="18" customWidth="1"/>
    <col min="6" max="6" width="62" customWidth="1"/>
    <col min="7" max="7" width="36" customWidth="1"/>
    <col min="8" max="9" width="24" customWidth="1"/>
    <col min="10" max="10" width="48" customWidth="1"/>
    <col min="11" max="14" width="18" customWidth="1"/>
    <col min="15" max="15" width="42" customWidth="1"/>
  </cols>
  <sheetData>
    <row r="1" spans="1:15" ht="32.1" customHeight="1">
      <c r="A1" s="4" t="s">
        <v>570</v>
      </c>
      <c r="B1" s="4" t="s">
        <v>51</v>
      </c>
      <c r="C1" s="4" t="s">
        <v>571</v>
      </c>
      <c r="D1" s="4" t="s">
        <v>572</v>
      </c>
      <c r="E1" s="4" t="s">
        <v>573</v>
      </c>
      <c r="F1" s="4" t="s">
        <v>574</v>
      </c>
      <c r="G1" s="4" t="s">
        <v>575</v>
      </c>
      <c r="H1" s="4" t="s">
        <v>576</v>
      </c>
      <c r="I1" s="4" t="s">
        <v>577</v>
      </c>
      <c r="J1" s="4" t="s">
        <v>578</v>
      </c>
      <c r="K1" s="4" t="s">
        <v>579</v>
      </c>
      <c r="L1" s="4" t="s">
        <v>580</v>
      </c>
      <c r="M1" s="4" t="s">
        <v>481</v>
      </c>
      <c r="N1" s="4" t="s">
        <v>581</v>
      </c>
      <c r="O1" s="4" t="s">
        <v>582</v>
      </c>
    </row>
    <row r="2" spans="1:15" ht="28.5">
      <c r="A2" s="2" t="s">
        <v>583</v>
      </c>
      <c r="B2" s="2" t="s">
        <v>76</v>
      </c>
      <c r="C2" s="2" t="s">
        <v>584</v>
      </c>
      <c r="D2" s="2" t="s">
        <v>81</v>
      </c>
      <c r="E2" s="2" t="s">
        <v>585</v>
      </c>
      <c r="F2" s="2" t="s">
        <v>86</v>
      </c>
      <c r="G2" s="2">
        <v>169000</v>
      </c>
      <c r="H2" s="2" t="s">
        <v>586</v>
      </c>
      <c r="I2" s="2" t="s">
        <v>587</v>
      </c>
      <c r="J2" s="2" t="s">
        <v>85</v>
      </c>
      <c r="K2" s="2" t="s">
        <v>87</v>
      </c>
      <c r="L2" s="2" t="s">
        <v>588</v>
      </c>
      <c r="M2" s="2" t="s">
        <v>589</v>
      </c>
      <c r="N2" s="2" t="s">
        <v>82</v>
      </c>
      <c r="O2" s="2" t="s">
        <v>590</v>
      </c>
    </row>
    <row r="3" spans="1:15" ht="42.75">
      <c r="A3" s="2" t="s">
        <v>591</v>
      </c>
      <c r="B3" s="2" t="s">
        <v>277</v>
      </c>
      <c r="C3" s="2" t="s">
        <v>584</v>
      </c>
      <c r="D3" s="2" t="s">
        <v>280</v>
      </c>
      <c r="E3" s="2" t="s">
        <v>592</v>
      </c>
      <c r="F3" s="2">
        <v>8.1</v>
      </c>
      <c r="G3" s="2" t="s">
        <v>593</v>
      </c>
      <c r="H3" s="2" t="s">
        <v>594</v>
      </c>
      <c r="I3" s="2" t="s">
        <v>595</v>
      </c>
      <c r="J3" s="2" t="s">
        <v>596</v>
      </c>
      <c r="K3" s="2" t="s">
        <v>5</v>
      </c>
      <c r="L3" s="2" t="s">
        <v>597</v>
      </c>
      <c r="M3" s="2" t="s">
        <v>42</v>
      </c>
      <c r="N3" s="2" t="s">
        <v>598</v>
      </c>
      <c r="O3" s="2" t="s">
        <v>599</v>
      </c>
    </row>
    <row r="4" spans="1:15" ht="42.75">
      <c r="A4" s="2" t="s">
        <v>600</v>
      </c>
      <c r="B4" s="2" t="s">
        <v>277</v>
      </c>
      <c r="C4" s="2" t="s">
        <v>584</v>
      </c>
      <c r="D4" s="2" t="s">
        <v>280</v>
      </c>
      <c r="E4" s="2" t="s">
        <v>498</v>
      </c>
      <c r="F4" s="2">
        <v>7.5</v>
      </c>
      <c r="G4" s="2" t="s">
        <v>593</v>
      </c>
      <c r="H4" s="2" t="s">
        <v>594</v>
      </c>
      <c r="I4" s="2" t="s">
        <v>595</v>
      </c>
      <c r="J4" s="2" t="s">
        <v>596</v>
      </c>
      <c r="K4" s="2" t="s">
        <v>5</v>
      </c>
      <c r="L4" s="2" t="s">
        <v>597</v>
      </c>
      <c r="M4" s="2" t="s">
        <v>42</v>
      </c>
      <c r="N4" s="2" t="s">
        <v>598</v>
      </c>
      <c r="O4" s="2" t="s">
        <v>599</v>
      </c>
    </row>
    <row r="5" spans="1:15" ht="42.75">
      <c r="A5" s="2" t="s">
        <v>601</v>
      </c>
      <c r="B5" s="2" t="s">
        <v>277</v>
      </c>
      <c r="C5" s="2" t="s">
        <v>584</v>
      </c>
      <c r="D5" s="2" t="s">
        <v>280</v>
      </c>
      <c r="E5" s="2" t="s">
        <v>602</v>
      </c>
      <c r="F5" s="2">
        <v>6.6</v>
      </c>
      <c r="G5" s="2" t="s">
        <v>593</v>
      </c>
      <c r="H5" s="2" t="s">
        <v>594</v>
      </c>
      <c r="I5" s="2" t="s">
        <v>595</v>
      </c>
      <c r="J5" s="2" t="s">
        <v>596</v>
      </c>
      <c r="K5" s="2" t="s">
        <v>5</v>
      </c>
      <c r="L5" s="2" t="s">
        <v>597</v>
      </c>
      <c r="M5" s="2" t="s">
        <v>42</v>
      </c>
      <c r="N5" s="2" t="s">
        <v>598</v>
      </c>
      <c r="O5" s="2" t="s">
        <v>599</v>
      </c>
    </row>
    <row r="6" spans="1:15" ht="42.75">
      <c r="A6" s="2" t="s">
        <v>603</v>
      </c>
      <c r="B6" s="2" t="s">
        <v>277</v>
      </c>
      <c r="C6" s="2" t="s">
        <v>584</v>
      </c>
      <c r="D6" s="2" t="s">
        <v>280</v>
      </c>
      <c r="E6" s="2" t="s">
        <v>604</v>
      </c>
      <c r="F6" s="2">
        <v>248.2</v>
      </c>
      <c r="G6" s="2" t="s">
        <v>593</v>
      </c>
      <c r="H6" s="2" t="s">
        <v>594</v>
      </c>
      <c r="I6" s="2" t="s">
        <v>595</v>
      </c>
      <c r="J6" s="2" t="s">
        <v>596</v>
      </c>
      <c r="K6" s="2" t="s">
        <v>5</v>
      </c>
      <c r="L6" s="2" t="s">
        <v>597</v>
      </c>
      <c r="M6" s="2" t="s">
        <v>42</v>
      </c>
      <c r="N6" s="2" t="s">
        <v>598</v>
      </c>
      <c r="O6" s="2" t="s">
        <v>599</v>
      </c>
    </row>
    <row r="7" spans="1:15" ht="42.75">
      <c r="A7" s="2" t="s">
        <v>605</v>
      </c>
      <c r="B7" s="2" t="s">
        <v>277</v>
      </c>
      <c r="C7" s="2" t="s">
        <v>584</v>
      </c>
      <c r="D7" s="2" t="s">
        <v>280</v>
      </c>
      <c r="E7" s="2" t="s">
        <v>606</v>
      </c>
      <c r="F7" s="2">
        <v>8.1999999999999993</v>
      </c>
      <c r="G7" s="2" t="s">
        <v>593</v>
      </c>
      <c r="H7" s="2" t="s">
        <v>594</v>
      </c>
      <c r="I7" s="2" t="s">
        <v>595</v>
      </c>
      <c r="J7" s="2" t="s">
        <v>596</v>
      </c>
      <c r="K7" s="2" t="s">
        <v>5</v>
      </c>
      <c r="L7" s="2" t="s">
        <v>597</v>
      </c>
      <c r="M7" s="2" t="s">
        <v>42</v>
      </c>
      <c r="N7" s="2" t="s">
        <v>598</v>
      </c>
      <c r="O7" s="2" t="s">
        <v>599</v>
      </c>
    </row>
    <row r="8" spans="1:15" ht="42.75">
      <c r="A8" s="2" t="s">
        <v>607</v>
      </c>
      <c r="B8" s="2" t="s">
        <v>277</v>
      </c>
      <c r="C8" s="2" t="s">
        <v>584</v>
      </c>
      <c r="D8" s="2" t="s">
        <v>280</v>
      </c>
      <c r="E8" s="2" t="s">
        <v>608</v>
      </c>
      <c r="F8" s="2" t="s">
        <v>542</v>
      </c>
      <c r="G8" s="2" t="s">
        <v>593</v>
      </c>
      <c r="H8" s="2" t="s">
        <v>594</v>
      </c>
      <c r="I8" s="2" t="s">
        <v>595</v>
      </c>
      <c r="J8" s="2" t="s">
        <v>596</v>
      </c>
      <c r="K8" s="2" t="s">
        <v>5</v>
      </c>
      <c r="L8" s="2" t="s">
        <v>597</v>
      </c>
      <c r="M8" s="2" t="s">
        <v>42</v>
      </c>
      <c r="N8" s="2" t="s">
        <v>598</v>
      </c>
      <c r="O8" s="2" t="s">
        <v>599</v>
      </c>
    </row>
    <row r="9" spans="1:15" ht="42.75">
      <c r="A9" s="2" t="s">
        <v>609</v>
      </c>
      <c r="B9" s="2" t="s">
        <v>277</v>
      </c>
      <c r="C9" s="2" t="s">
        <v>584</v>
      </c>
      <c r="D9" s="2" t="s">
        <v>280</v>
      </c>
      <c r="E9" s="2" t="s">
        <v>610</v>
      </c>
      <c r="F9" s="2" t="s">
        <v>555</v>
      </c>
      <c r="G9" s="2" t="s">
        <v>593</v>
      </c>
      <c r="H9" s="2" t="s">
        <v>594</v>
      </c>
      <c r="I9" s="2" t="s">
        <v>595</v>
      </c>
      <c r="J9" s="2" t="s">
        <v>596</v>
      </c>
      <c r="K9" s="2" t="s">
        <v>5</v>
      </c>
      <c r="L9" s="2" t="s">
        <v>597</v>
      </c>
      <c r="M9" s="2" t="s">
        <v>42</v>
      </c>
      <c r="N9" s="2" t="s">
        <v>598</v>
      </c>
      <c r="O9" s="2" t="s">
        <v>599</v>
      </c>
    </row>
    <row r="10" spans="1:15" ht="42.75">
      <c r="A10" s="2" t="s">
        <v>611</v>
      </c>
      <c r="B10" s="2" t="s">
        <v>410</v>
      </c>
      <c r="C10" s="2" t="s">
        <v>584</v>
      </c>
      <c r="D10" s="2" t="s">
        <v>412</v>
      </c>
      <c r="E10" s="2" t="s">
        <v>592</v>
      </c>
      <c r="F10" s="2">
        <v>6.6</v>
      </c>
      <c r="G10" s="2" t="s">
        <v>612</v>
      </c>
      <c r="H10" s="2" t="s">
        <v>594</v>
      </c>
      <c r="I10" s="2" t="s">
        <v>613</v>
      </c>
      <c r="J10" s="2" t="s">
        <v>614</v>
      </c>
      <c r="K10" s="2" t="s">
        <v>5</v>
      </c>
      <c r="L10" s="2" t="s">
        <v>588</v>
      </c>
      <c r="M10" s="2" t="s">
        <v>42</v>
      </c>
      <c r="N10" s="2" t="s">
        <v>598</v>
      </c>
      <c r="O10" s="2" t="s">
        <v>599</v>
      </c>
    </row>
    <row r="11" spans="1:15" ht="42.75">
      <c r="A11" s="2" t="s">
        <v>615</v>
      </c>
      <c r="B11" s="2" t="s">
        <v>410</v>
      </c>
      <c r="C11" s="2" t="s">
        <v>584</v>
      </c>
      <c r="D11" s="2" t="s">
        <v>412</v>
      </c>
      <c r="E11" s="2" t="s">
        <v>498</v>
      </c>
      <c r="F11" s="2">
        <v>7.6</v>
      </c>
      <c r="G11" s="2" t="s">
        <v>612</v>
      </c>
      <c r="H11" s="2" t="s">
        <v>594</v>
      </c>
      <c r="I11" s="2" t="s">
        <v>613</v>
      </c>
      <c r="J11" s="2" t="s">
        <v>614</v>
      </c>
      <c r="K11" s="2" t="s">
        <v>5</v>
      </c>
      <c r="L11" s="2" t="s">
        <v>588</v>
      </c>
      <c r="M11" s="2" t="s">
        <v>42</v>
      </c>
      <c r="N11" s="2" t="s">
        <v>598</v>
      </c>
      <c r="O11" s="2" t="s">
        <v>599</v>
      </c>
    </row>
    <row r="12" spans="1:15" ht="42.75">
      <c r="A12" s="2" t="s">
        <v>616</v>
      </c>
      <c r="B12" s="2" t="s">
        <v>410</v>
      </c>
      <c r="C12" s="2" t="s">
        <v>584</v>
      </c>
      <c r="D12" s="2" t="s">
        <v>412</v>
      </c>
      <c r="E12" s="2" t="s">
        <v>602</v>
      </c>
      <c r="F12" s="2">
        <v>1.4</v>
      </c>
      <c r="G12" s="2" t="s">
        <v>612</v>
      </c>
      <c r="H12" s="2" t="s">
        <v>594</v>
      </c>
      <c r="I12" s="2" t="s">
        <v>613</v>
      </c>
      <c r="J12" s="2" t="s">
        <v>614</v>
      </c>
      <c r="K12" s="2" t="s">
        <v>5</v>
      </c>
      <c r="L12" s="2" t="s">
        <v>588</v>
      </c>
      <c r="M12" s="2" t="s">
        <v>42</v>
      </c>
      <c r="N12" s="2" t="s">
        <v>598</v>
      </c>
      <c r="O12" s="2" t="s">
        <v>599</v>
      </c>
    </row>
    <row r="13" spans="1:15" ht="42.75">
      <c r="A13" s="2" t="s">
        <v>617</v>
      </c>
      <c r="B13" s="2" t="s">
        <v>410</v>
      </c>
      <c r="C13" s="2" t="s">
        <v>584</v>
      </c>
      <c r="D13" s="2" t="s">
        <v>412</v>
      </c>
      <c r="E13" s="2" t="s">
        <v>604</v>
      </c>
      <c r="F13" s="2">
        <v>252.9</v>
      </c>
      <c r="G13" s="2" t="s">
        <v>612</v>
      </c>
      <c r="H13" s="2" t="s">
        <v>594</v>
      </c>
      <c r="I13" s="2" t="s">
        <v>613</v>
      </c>
      <c r="J13" s="2" t="s">
        <v>614</v>
      </c>
      <c r="K13" s="2" t="s">
        <v>5</v>
      </c>
      <c r="L13" s="2" t="s">
        <v>588</v>
      </c>
      <c r="M13" s="2" t="s">
        <v>42</v>
      </c>
      <c r="N13" s="2" t="s">
        <v>598</v>
      </c>
      <c r="O13" s="2" t="s">
        <v>599</v>
      </c>
    </row>
    <row r="14" spans="1:15" ht="42.75">
      <c r="A14" s="2" t="s">
        <v>618</v>
      </c>
      <c r="B14" s="2" t="s">
        <v>410</v>
      </c>
      <c r="C14" s="2" t="s">
        <v>584</v>
      </c>
      <c r="D14" s="2" t="s">
        <v>412</v>
      </c>
      <c r="E14" s="2" t="s">
        <v>606</v>
      </c>
      <c r="F14" s="2">
        <v>8.6</v>
      </c>
      <c r="G14" s="2" t="s">
        <v>612</v>
      </c>
      <c r="H14" s="2" t="s">
        <v>594</v>
      </c>
      <c r="I14" s="2" t="s">
        <v>613</v>
      </c>
      <c r="J14" s="2" t="s">
        <v>614</v>
      </c>
      <c r="K14" s="2" t="s">
        <v>5</v>
      </c>
      <c r="L14" s="2" t="s">
        <v>588</v>
      </c>
      <c r="M14" s="2" t="s">
        <v>42</v>
      </c>
      <c r="N14" s="2" t="s">
        <v>598</v>
      </c>
      <c r="O14" s="2" t="s">
        <v>599</v>
      </c>
    </row>
    <row r="15" spans="1:15" ht="42.75">
      <c r="A15" s="2" t="s">
        <v>619</v>
      </c>
      <c r="B15" s="2" t="s">
        <v>410</v>
      </c>
      <c r="C15" s="2" t="s">
        <v>584</v>
      </c>
      <c r="D15" s="2" t="s">
        <v>412</v>
      </c>
      <c r="E15" s="2" t="s">
        <v>608</v>
      </c>
      <c r="F15" s="2" t="s">
        <v>542</v>
      </c>
      <c r="G15" s="2" t="s">
        <v>612</v>
      </c>
      <c r="H15" s="2" t="s">
        <v>594</v>
      </c>
      <c r="I15" s="2" t="s">
        <v>613</v>
      </c>
      <c r="J15" s="2" t="s">
        <v>614</v>
      </c>
      <c r="K15" s="2" t="s">
        <v>5</v>
      </c>
      <c r="L15" s="2" t="s">
        <v>588</v>
      </c>
      <c r="M15" s="2" t="s">
        <v>42</v>
      </c>
      <c r="N15" s="2" t="s">
        <v>598</v>
      </c>
      <c r="O15" s="2" t="s">
        <v>599</v>
      </c>
    </row>
    <row r="16" spans="1:15" ht="42.75">
      <c r="A16" s="2" t="s">
        <v>620</v>
      </c>
      <c r="B16" s="2" t="s">
        <v>410</v>
      </c>
      <c r="C16" s="2" t="s">
        <v>584</v>
      </c>
      <c r="D16" s="2" t="s">
        <v>412</v>
      </c>
      <c r="E16" s="2" t="s">
        <v>610</v>
      </c>
      <c r="F16" s="2" t="s">
        <v>621</v>
      </c>
      <c r="G16" s="2" t="s">
        <v>612</v>
      </c>
      <c r="H16" s="2" t="s">
        <v>594</v>
      </c>
      <c r="I16" s="2" t="s">
        <v>613</v>
      </c>
      <c r="J16" s="2" t="s">
        <v>614</v>
      </c>
      <c r="K16" s="2" t="s">
        <v>5</v>
      </c>
      <c r="L16" s="2" t="s">
        <v>588</v>
      </c>
      <c r="M16" s="2" t="s">
        <v>42</v>
      </c>
      <c r="N16" s="2" t="s">
        <v>598</v>
      </c>
      <c r="O16" s="2" t="s">
        <v>599</v>
      </c>
    </row>
    <row r="17" spans="1:15" ht="42.75">
      <c r="A17" s="2" t="s">
        <v>622</v>
      </c>
      <c r="B17" s="2" t="s">
        <v>309</v>
      </c>
      <c r="C17" s="2" t="s">
        <v>584</v>
      </c>
      <c r="D17" s="2" t="s">
        <v>314</v>
      </c>
      <c r="E17" s="2" t="s">
        <v>592</v>
      </c>
      <c r="F17" s="2">
        <v>7.7</v>
      </c>
      <c r="G17" s="2" t="s">
        <v>623</v>
      </c>
      <c r="H17" s="2" t="s">
        <v>594</v>
      </c>
      <c r="I17" s="2" t="s">
        <v>595</v>
      </c>
      <c r="J17" s="2" t="s">
        <v>624</v>
      </c>
      <c r="K17" s="2" t="s">
        <v>5</v>
      </c>
      <c r="L17" s="2" t="s">
        <v>597</v>
      </c>
      <c r="M17" s="2" t="s">
        <v>42</v>
      </c>
      <c r="N17" s="2" t="s">
        <v>598</v>
      </c>
      <c r="O17" s="2" t="s">
        <v>599</v>
      </c>
    </row>
    <row r="18" spans="1:15" ht="42.75">
      <c r="A18" s="2" t="s">
        <v>625</v>
      </c>
      <c r="B18" s="2" t="s">
        <v>309</v>
      </c>
      <c r="C18" s="2" t="s">
        <v>584</v>
      </c>
      <c r="D18" s="2" t="s">
        <v>314</v>
      </c>
      <c r="E18" s="2" t="s">
        <v>498</v>
      </c>
      <c r="F18" s="2">
        <v>8</v>
      </c>
      <c r="G18" s="2" t="s">
        <v>623</v>
      </c>
      <c r="H18" s="2" t="s">
        <v>594</v>
      </c>
      <c r="I18" s="2" t="s">
        <v>595</v>
      </c>
      <c r="J18" s="2" t="s">
        <v>624</v>
      </c>
      <c r="K18" s="2" t="s">
        <v>5</v>
      </c>
      <c r="L18" s="2" t="s">
        <v>597</v>
      </c>
      <c r="M18" s="2" t="s">
        <v>42</v>
      </c>
      <c r="N18" s="2" t="s">
        <v>598</v>
      </c>
      <c r="O18" s="2" t="s">
        <v>599</v>
      </c>
    </row>
    <row r="19" spans="1:15" ht="42.75">
      <c r="A19" s="2" t="s">
        <v>626</v>
      </c>
      <c r="B19" s="2" t="s">
        <v>309</v>
      </c>
      <c r="C19" s="2" t="s">
        <v>584</v>
      </c>
      <c r="D19" s="2" t="s">
        <v>314</v>
      </c>
      <c r="E19" s="2" t="s">
        <v>602</v>
      </c>
      <c r="F19" s="2">
        <v>7.2</v>
      </c>
      <c r="G19" s="2" t="s">
        <v>623</v>
      </c>
      <c r="H19" s="2" t="s">
        <v>594</v>
      </c>
      <c r="I19" s="2" t="s">
        <v>595</v>
      </c>
      <c r="J19" s="2" t="s">
        <v>624</v>
      </c>
      <c r="K19" s="2" t="s">
        <v>5</v>
      </c>
      <c r="L19" s="2" t="s">
        <v>597</v>
      </c>
      <c r="M19" s="2" t="s">
        <v>42</v>
      </c>
      <c r="N19" s="2" t="s">
        <v>598</v>
      </c>
      <c r="O19" s="2" t="s">
        <v>599</v>
      </c>
    </row>
    <row r="20" spans="1:15" ht="42.75">
      <c r="A20" s="2" t="s">
        <v>627</v>
      </c>
      <c r="B20" s="2" t="s">
        <v>309</v>
      </c>
      <c r="C20" s="2" t="s">
        <v>584</v>
      </c>
      <c r="D20" s="2" t="s">
        <v>314</v>
      </c>
      <c r="E20" s="2" t="s">
        <v>604</v>
      </c>
      <c r="F20" s="2">
        <v>257.60000000000002</v>
      </c>
      <c r="G20" s="2" t="s">
        <v>623</v>
      </c>
      <c r="H20" s="2" t="s">
        <v>594</v>
      </c>
      <c r="I20" s="2" t="s">
        <v>595</v>
      </c>
      <c r="J20" s="2" t="s">
        <v>624</v>
      </c>
      <c r="K20" s="2" t="s">
        <v>5</v>
      </c>
      <c r="L20" s="2" t="s">
        <v>597</v>
      </c>
      <c r="M20" s="2" t="s">
        <v>42</v>
      </c>
      <c r="N20" s="2" t="s">
        <v>598</v>
      </c>
      <c r="O20" s="2" t="s">
        <v>599</v>
      </c>
    </row>
    <row r="21" spans="1:15" ht="42.75">
      <c r="A21" s="2" t="s">
        <v>628</v>
      </c>
      <c r="B21" s="2" t="s">
        <v>309</v>
      </c>
      <c r="C21" s="2" t="s">
        <v>584</v>
      </c>
      <c r="D21" s="2" t="s">
        <v>314</v>
      </c>
      <c r="E21" s="2" t="s">
        <v>606</v>
      </c>
      <c r="F21" s="2">
        <v>9.8000000000000007</v>
      </c>
      <c r="G21" s="2" t="s">
        <v>623</v>
      </c>
      <c r="H21" s="2" t="s">
        <v>594</v>
      </c>
      <c r="I21" s="2" t="s">
        <v>595</v>
      </c>
      <c r="J21" s="2" t="s">
        <v>624</v>
      </c>
      <c r="K21" s="2" t="s">
        <v>5</v>
      </c>
      <c r="L21" s="2" t="s">
        <v>597</v>
      </c>
      <c r="M21" s="2" t="s">
        <v>42</v>
      </c>
      <c r="N21" s="2" t="s">
        <v>598</v>
      </c>
      <c r="O21" s="2" t="s">
        <v>599</v>
      </c>
    </row>
    <row r="22" spans="1:15" ht="42.75">
      <c r="A22" s="2" t="s">
        <v>629</v>
      </c>
      <c r="B22" s="2" t="s">
        <v>309</v>
      </c>
      <c r="C22" s="2" t="s">
        <v>584</v>
      </c>
      <c r="D22" s="2" t="s">
        <v>314</v>
      </c>
      <c r="E22" s="2" t="s">
        <v>608</v>
      </c>
      <c r="F22" s="2" t="s">
        <v>542</v>
      </c>
      <c r="G22" s="2" t="s">
        <v>623</v>
      </c>
      <c r="H22" s="2" t="s">
        <v>594</v>
      </c>
      <c r="I22" s="2" t="s">
        <v>595</v>
      </c>
      <c r="J22" s="2" t="s">
        <v>624</v>
      </c>
      <c r="K22" s="2" t="s">
        <v>5</v>
      </c>
      <c r="L22" s="2" t="s">
        <v>597</v>
      </c>
      <c r="M22" s="2" t="s">
        <v>42</v>
      </c>
      <c r="N22" s="2" t="s">
        <v>598</v>
      </c>
      <c r="O22" s="2" t="s">
        <v>599</v>
      </c>
    </row>
    <row r="23" spans="1:15" ht="42.75">
      <c r="A23" s="2" t="s">
        <v>630</v>
      </c>
      <c r="B23" s="2" t="s">
        <v>309</v>
      </c>
      <c r="C23" s="2" t="s">
        <v>584</v>
      </c>
      <c r="D23" s="2" t="s">
        <v>314</v>
      </c>
      <c r="E23" s="2" t="s">
        <v>610</v>
      </c>
      <c r="F23" s="2" t="s">
        <v>555</v>
      </c>
      <c r="G23" s="2" t="s">
        <v>623</v>
      </c>
      <c r="H23" s="2" t="s">
        <v>594</v>
      </c>
      <c r="I23" s="2" t="s">
        <v>595</v>
      </c>
      <c r="J23" s="2" t="s">
        <v>624</v>
      </c>
      <c r="K23" s="2" t="s">
        <v>5</v>
      </c>
      <c r="L23" s="2" t="s">
        <v>597</v>
      </c>
      <c r="M23" s="2" t="s">
        <v>42</v>
      </c>
      <c r="N23" s="2" t="s">
        <v>598</v>
      </c>
      <c r="O23" s="2" t="s">
        <v>599</v>
      </c>
    </row>
    <row r="24" spans="1:15" ht="42.75">
      <c r="A24" s="2" t="s">
        <v>631</v>
      </c>
      <c r="B24" s="2" t="s">
        <v>180</v>
      </c>
      <c r="C24" s="2" t="s">
        <v>584</v>
      </c>
      <c r="D24" s="2" t="s">
        <v>49</v>
      </c>
      <c r="E24" s="2" t="s">
        <v>592</v>
      </c>
      <c r="F24" s="2"/>
      <c r="G24" s="2" t="s">
        <v>632</v>
      </c>
      <c r="H24" s="2" t="s">
        <v>586</v>
      </c>
      <c r="I24" s="2" t="s">
        <v>633</v>
      </c>
      <c r="J24" s="2" t="s">
        <v>634</v>
      </c>
      <c r="K24" s="2" t="s">
        <v>5</v>
      </c>
      <c r="L24" s="2" t="s">
        <v>635</v>
      </c>
      <c r="M24" s="2" t="s">
        <v>42</v>
      </c>
      <c r="N24" s="2" t="s">
        <v>598</v>
      </c>
      <c r="O24" s="2" t="s">
        <v>599</v>
      </c>
    </row>
    <row r="25" spans="1:15" ht="42.75">
      <c r="A25" s="2" t="s">
        <v>636</v>
      </c>
      <c r="B25" s="2" t="s">
        <v>180</v>
      </c>
      <c r="C25" s="2" t="s">
        <v>584</v>
      </c>
      <c r="D25" s="2" t="s">
        <v>49</v>
      </c>
      <c r="E25" s="2" t="s">
        <v>498</v>
      </c>
      <c r="F25" s="2"/>
      <c r="G25" s="2" t="s">
        <v>632</v>
      </c>
      <c r="H25" s="2" t="s">
        <v>586</v>
      </c>
      <c r="I25" s="2" t="s">
        <v>633</v>
      </c>
      <c r="J25" s="2" t="s">
        <v>634</v>
      </c>
      <c r="K25" s="2" t="s">
        <v>5</v>
      </c>
      <c r="L25" s="2" t="s">
        <v>635</v>
      </c>
      <c r="M25" s="2" t="s">
        <v>42</v>
      </c>
      <c r="N25" s="2" t="s">
        <v>598</v>
      </c>
      <c r="O25" s="2" t="s">
        <v>599</v>
      </c>
    </row>
    <row r="26" spans="1:15" ht="42.75">
      <c r="A26" s="2" t="s">
        <v>637</v>
      </c>
      <c r="B26" s="2" t="s">
        <v>180</v>
      </c>
      <c r="C26" s="2" t="s">
        <v>584</v>
      </c>
      <c r="D26" s="2" t="s">
        <v>49</v>
      </c>
      <c r="E26" s="2" t="s">
        <v>602</v>
      </c>
      <c r="F26" s="2"/>
      <c r="G26" s="2" t="s">
        <v>632</v>
      </c>
      <c r="H26" s="2" t="s">
        <v>586</v>
      </c>
      <c r="I26" s="2" t="s">
        <v>633</v>
      </c>
      <c r="J26" s="2" t="s">
        <v>634</v>
      </c>
      <c r="K26" s="2" t="s">
        <v>5</v>
      </c>
      <c r="L26" s="2" t="s">
        <v>635</v>
      </c>
      <c r="M26" s="2" t="s">
        <v>42</v>
      </c>
      <c r="N26" s="2" t="s">
        <v>598</v>
      </c>
      <c r="O26" s="2" t="s">
        <v>599</v>
      </c>
    </row>
    <row r="27" spans="1:15" ht="42.75">
      <c r="A27" s="2" t="s">
        <v>638</v>
      </c>
      <c r="B27" s="2" t="s">
        <v>180</v>
      </c>
      <c r="C27" s="2" t="s">
        <v>584</v>
      </c>
      <c r="D27" s="2" t="s">
        <v>49</v>
      </c>
      <c r="E27" s="2" t="s">
        <v>604</v>
      </c>
      <c r="F27" s="2">
        <v>291</v>
      </c>
      <c r="G27" s="2" t="s">
        <v>632</v>
      </c>
      <c r="H27" s="2" t="s">
        <v>586</v>
      </c>
      <c r="I27" s="2" t="s">
        <v>633</v>
      </c>
      <c r="J27" s="2" t="s">
        <v>634</v>
      </c>
      <c r="K27" s="2" t="s">
        <v>5</v>
      </c>
      <c r="L27" s="2" t="s">
        <v>635</v>
      </c>
      <c r="M27" s="2" t="s">
        <v>42</v>
      </c>
      <c r="N27" s="2" t="s">
        <v>598</v>
      </c>
      <c r="O27" s="2" t="s">
        <v>599</v>
      </c>
    </row>
    <row r="28" spans="1:15" ht="42.75">
      <c r="A28" s="2" t="s">
        <v>639</v>
      </c>
      <c r="B28" s="2" t="s">
        <v>180</v>
      </c>
      <c r="C28" s="2" t="s">
        <v>584</v>
      </c>
      <c r="D28" s="2" t="s">
        <v>49</v>
      </c>
      <c r="E28" s="2" t="s">
        <v>606</v>
      </c>
      <c r="F28" s="2">
        <v>9</v>
      </c>
      <c r="G28" s="2" t="s">
        <v>632</v>
      </c>
      <c r="H28" s="2" t="s">
        <v>586</v>
      </c>
      <c r="I28" s="2" t="s">
        <v>633</v>
      </c>
      <c r="J28" s="2" t="s">
        <v>634</v>
      </c>
      <c r="K28" s="2" t="s">
        <v>5</v>
      </c>
      <c r="L28" s="2" t="s">
        <v>635</v>
      </c>
      <c r="M28" s="2" t="s">
        <v>42</v>
      </c>
      <c r="N28" s="2" t="s">
        <v>598</v>
      </c>
      <c r="O28" s="2" t="s">
        <v>599</v>
      </c>
    </row>
    <row r="29" spans="1:15" ht="42.75">
      <c r="A29" s="2" t="s">
        <v>640</v>
      </c>
      <c r="B29" s="2" t="s">
        <v>180</v>
      </c>
      <c r="C29" s="2" t="s">
        <v>584</v>
      </c>
      <c r="D29" s="2" t="s">
        <v>49</v>
      </c>
      <c r="E29" s="2" t="s">
        <v>608</v>
      </c>
      <c r="F29" s="2" t="s">
        <v>542</v>
      </c>
      <c r="G29" s="2" t="s">
        <v>632</v>
      </c>
      <c r="H29" s="2" t="s">
        <v>586</v>
      </c>
      <c r="I29" s="2" t="s">
        <v>633</v>
      </c>
      <c r="J29" s="2" t="s">
        <v>634</v>
      </c>
      <c r="K29" s="2" t="s">
        <v>5</v>
      </c>
      <c r="L29" s="2" t="s">
        <v>635</v>
      </c>
      <c r="M29" s="2" t="s">
        <v>42</v>
      </c>
      <c r="N29" s="2" t="s">
        <v>598</v>
      </c>
      <c r="O29" s="2" t="s">
        <v>599</v>
      </c>
    </row>
    <row r="30" spans="1:15" ht="42.75">
      <c r="A30" s="2" t="s">
        <v>641</v>
      </c>
      <c r="B30" s="2" t="s">
        <v>180</v>
      </c>
      <c r="C30" s="2" t="s">
        <v>584</v>
      </c>
      <c r="D30" s="2" t="s">
        <v>49</v>
      </c>
      <c r="E30" s="2" t="s">
        <v>610</v>
      </c>
      <c r="F30" s="2" t="s">
        <v>555</v>
      </c>
      <c r="G30" s="2" t="s">
        <v>632</v>
      </c>
      <c r="H30" s="2" t="s">
        <v>586</v>
      </c>
      <c r="I30" s="2" t="s">
        <v>633</v>
      </c>
      <c r="J30" s="2" t="s">
        <v>634</v>
      </c>
      <c r="K30" s="2" t="s">
        <v>5</v>
      </c>
      <c r="L30" s="2" t="s">
        <v>635</v>
      </c>
      <c r="M30" s="2" t="s">
        <v>42</v>
      </c>
      <c r="N30" s="2" t="s">
        <v>598</v>
      </c>
      <c r="O30" s="2" t="s">
        <v>599</v>
      </c>
    </row>
    <row r="31" spans="1:15" ht="42.75">
      <c r="A31" s="2" t="s">
        <v>642</v>
      </c>
      <c r="B31" s="2" t="s">
        <v>153</v>
      </c>
      <c r="C31" s="2" t="s">
        <v>584</v>
      </c>
      <c r="D31" s="2" t="s">
        <v>156</v>
      </c>
      <c r="E31" s="2" t="s">
        <v>592</v>
      </c>
      <c r="F31" s="2">
        <v>6.8</v>
      </c>
      <c r="G31" s="2" t="s">
        <v>643</v>
      </c>
      <c r="H31" s="2" t="s">
        <v>594</v>
      </c>
      <c r="I31" s="2" t="s">
        <v>595</v>
      </c>
      <c r="J31" s="2" t="s">
        <v>644</v>
      </c>
      <c r="K31" s="2" t="s">
        <v>5</v>
      </c>
      <c r="L31" s="2" t="s">
        <v>597</v>
      </c>
      <c r="M31" s="2" t="s">
        <v>42</v>
      </c>
      <c r="N31" s="2" t="s">
        <v>598</v>
      </c>
      <c r="O31" s="2" t="s">
        <v>599</v>
      </c>
    </row>
    <row r="32" spans="1:15" ht="42.75">
      <c r="A32" s="2" t="s">
        <v>645</v>
      </c>
      <c r="B32" s="2" t="s">
        <v>153</v>
      </c>
      <c r="C32" s="2" t="s">
        <v>584</v>
      </c>
      <c r="D32" s="2" t="s">
        <v>156</v>
      </c>
      <c r="E32" s="2" t="s">
        <v>498</v>
      </c>
      <c r="F32" s="2">
        <v>8.6</v>
      </c>
      <c r="G32" s="2" t="s">
        <v>643</v>
      </c>
      <c r="H32" s="2" t="s">
        <v>594</v>
      </c>
      <c r="I32" s="2" t="s">
        <v>595</v>
      </c>
      <c r="J32" s="2" t="s">
        <v>644</v>
      </c>
      <c r="K32" s="2" t="s">
        <v>5</v>
      </c>
      <c r="L32" s="2" t="s">
        <v>597</v>
      </c>
      <c r="M32" s="2" t="s">
        <v>42</v>
      </c>
      <c r="N32" s="2" t="s">
        <v>598</v>
      </c>
      <c r="O32" s="2" t="s">
        <v>599</v>
      </c>
    </row>
    <row r="33" spans="1:15" ht="42.75">
      <c r="A33" s="2" t="s">
        <v>646</v>
      </c>
      <c r="B33" s="2" t="s">
        <v>153</v>
      </c>
      <c r="C33" s="2" t="s">
        <v>584</v>
      </c>
      <c r="D33" s="2" t="s">
        <v>156</v>
      </c>
      <c r="E33" s="2" t="s">
        <v>602</v>
      </c>
      <c r="F33" s="2">
        <v>6.3</v>
      </c>
      <c r="G33" s="2" t="s">
        <v>643</v>
      </c>
      <c r="H33" s="2" t="s">
        <v>594</v>
      </c>
      <c r="I33" s="2" t="s">
        <v>595</v>
      </c>
      <c r="J33" s="2" t="s">
        <v>644</v>
      </c>
      <c r="K33" s="2" t="s">
        <v>5</v>
      </c>
      <c r="L33" s="2" t="s">
        <v>597</v>
      </c>
      <c r="M33" s="2" t="s">
        <v>42</v>
      </c>
      <c r="N33" s="2" t="s">
        <v>598</v>
      </c>
      <c r="O33" s="2" t="s">
        <v>599</v>
      </c>
    </row>
    <row r="34" spans="1:15" ht="42.75">
      <c r="A34" s="2" t="s">
        <v>647</v>
      </c>
      <c r="B34" s="2" t="s">
        <v>153</v>
      </c>
      <c r="C34" s="2" t="s">
        <v>584</v>
      </c>
      <c r="D34" s="2" t="s">
        <v>156</v>
      </c>
      <c r="E34" s="2" t="s">
        <v>604</v>
      </c>
      <c r="F34" s="2">
        <v>265.89999999999998</v>
      </c>
      <c r="G34" s="2" t="s">
        <v>643</v>
      </c>
      <c r="H34" s="2" t="s">
        <v>594</v>
      </c>
      <c r="I34" s="2" t="s">
        <v>595</v>
      </c>
      <c r="J34" s="2" t="s">
        <v>644</v>
      </c>
      <c r="K34" s="2" t="s">
        <v>5</v>
      </c>
      <c r="L34" s="2" t="s">
        <v>597</v>
      </c>
      <c r="M34" s="2" t="s">
        <v>42</v>
      </c>
      <c r="N34" s="2" t="s">
        <v>598</v>
      </c>
      <c r="O34" s="2" t="s">
        <v>599</v>
      </c>
    </row>
    <row r="35" spans="1:15" ht="42.75">
      <c r="A35" s="2" t="s">
        <v>648</v>
      </c>
      <c r="B35" s="2" t="s">
        <v>153</v>
      </c>
      <c r="C35" s="2" t="s">
        <v>584</v>
      </c>
      <c r="D35" s="2" t="s">
        <v>156</v>
      </c>
      <c r="E35" s="2" t="s">
        <v>606</v>
      </c>
      <c r="F35" s="2">
        <v>9.6</v>
      </c>
      <c r="G35" s="2" t="s">
        <v>643</v>
      </c>
      <c r="H35" s="2" t="s">
        <v>594</v>
      </c>
      <c r="I35" s="2" t="s">
        <v>595</v>
      </c>
      <c r="J35" s="2" t="s">
        <v>644</v>
      </c>
      <c r="K35" s="2" t="s">
        <v>5</v>
      </c>
      <c r="L35" s="2" t="s">
        <v>597</v>
      </c>
      <c r="M35" s="2" t="s">
        <v>42</v>
      </c>
      <c r="N35" s="2" t="s">
        <v>598</v>
      </c>
      <c r="O35" s="2" t="s">
        <v>599</v>
      </c>
    </row>
    <row r="36" spans="1:15" ht="42.75">
      <c r="A36" s="2" t="s">
        <v>649</v>
      </c>
      <c r="B36" s="2" t="s">
        <v>153</v>
      </c>
      <c r="C36" s="2" t="s">
        <v>584</v>
      </c>
      <c r="D36" s="2" t="s">
        <v>156</v>
      </c>
      <c r="E36" s="2" t="s">
        <v>608</v>
      </c>
      <c r="F36" s="2" t="s">
        <v>542</v>
      </c>
      <c r="G36" s="2" t="s">
        <v>643</v>
      </c>
      <c r="H36" s="2" t="s">
        <v>594</v>
      </c>
      <c r="I36" s="2" t="s">
        <v>595</v>
      </c>
      <c r="J36" s="2" t="s">
        <v>644</v>
      </c>
      <c r="K36" s="2" t="s">
        <v>5</v>
      </c>
      <c r="L36" s="2" t="s">
        <v>597</v>
      </c>
      <c r="M36" s="2" t="s">
        <v>42</v>
      </c>
      <c r="N36" s="2" t="s">
        <v>598</v>
      </c>
      <c r="O36" s="2" t="s">
        <v>599</v>
      </c>
    </row>
    <row r="37" spans="1:15" ht="42.75">
      <c r="A37" s="2" t="s">
        <v>650</v>
      </c>
      <c r="B37" s="2" t="s">
        <v>153</v>
      </c>
      <c r="C37" s="2" t="s">
        <v>584</v>
      </c>
      <c r="D37" s="2" t="s">
        <v>156</v>
      </c>
      <c r="E37" s="2" t="s">
        <v>610</v>
      </c>
      <c r="F37" s="2" t="s">
        <v>555</v>
      </c>
      <c r="G37" s="2" t="s">
        <v>643</v>
      </c>
      <c r="H37" s="2" t="s">
        <v>594</v>
      </c>
      <c r="I37" s="2" t="s">
        <v>595</v>
      </c>
      <c r="J37" s="2" t="s">
        <v>644</v>
      </c>
      <c r="K37" s="2" t="s">
        <v>5</v>
      </c>
      <c r="L37" s="2" t="s">
        <v>597</v>
      </c>
      <c r="M37" s="2" t="s">
        <v>42</v>
      </c>
      <c r="N37" s="2" t="s">
        <v>598</v>
      </c>
      <c r="O37" s="2" t="s">
        <v>599</v>
      </c>
    </row>
    <row r="38" spans="1:15" ht="42.75">
      <c r="A38" s="2" t="s">
        <v>651</v>
      </c>
      <c r="B38" s="2" t="s">
        <v>272</v>
      </c>
      <c r="C38" s="2" t="s">
        <v>584</v>
      </c>
      <c r="D38" s="2" t="s">
        <v>275</v>
      </c>
      <c r="E38" s="2" t="s">
        <v>592</v>
      </c>
      <c r="F38" s="2">
        <v>8.6</v>
      </c>
      <c r="G38" s="2" t="s">
        <v>652</v>
      </c>
      <c r="H38" s="2" t="s">
        <v>594</v>
      </c>
      <c r="I38" s="2" t="s">
        <v>595</v>
      </c>
      <c r="J38" s="2" t="s">
        <v>653</v>
      </c>
      <c r="K38" s="2" t="s">
        <v>5</v>
      </c>
      <c r="L38" s="2" t="s">
        <v>597</v>
      </c>
      <c r="M38" s="2" t="s">
        <v>42</v>
      </c>
      <c r="N38" s="2" t="s">
        <v>598</v>
      </c>
      <c r="O38" s="2" t="s">
        <v>599</v>
      </c>
    </row>
    <row r="39" spans="1:15" ht="42.75">
      <c r="A39" s="2" t="s">
        <v>654</v>
      </c>
      <c r="B39" s="2" t="s">
        <v>272</v>
      </c>
      <c r="C39" s="2" t="s">
        <v>584</v>
      </c>
      <c r="D39" s="2" t="s">
        <v>275</v>
      </c>
      <c r="E39" s="2" t="s">
        <v>498</v>
      </c>
      <c r="F39" s="2">
        <v>8.3000000000000007</v>
      </c>
      <c r="G39" s="2" t="s">
        <v>652</v>
      </c>
      <c r="H39" s="2" t="s">
        <v>594</v>
      </c>
      <c r="I39" s="2" t="s">
        <v>595</v>
      </c>
      <c r="J39" s="2" t="s">
        <v>653</v>
      </c>
      <c r="K39" s="2" t="s">
        <v>5</v>
      </c>
      <c r="L39" s="2" t="s">
        <v>597</v>
      </c>
      <c r="M39" s="2" t="s">
        <v>42</v>
      </c>
      <c r="N39" s="2" t="s">
        <v>598</v>
      </c>
      <c r="O39" s="2" t="s">
        <v>599</v>
      </c>
    </row>
    <row r="40" spans="1:15" ht="42.75">
      <c r="A40" s="2" t="s">
        <v>655</v>
      </c>
      <c r="B40" s="2" t="s">
        <v>272</v>
      </c>
      <c r="C40" s="2" t="s">
        <v>584</v>
      </c>
      <c r="D40" s="2" t="s">
        <v>275</v>
      </c>
      <c r="E40" s="2" t="s">
        <v>602</v>
      </c>
      <c r="F40" s="2">
        <v>5.3</v>
      </c>
      <c r="G40" s="2" t="s">
        <v>652</v>
      </c>
      <c r="H40" s="2" t="s">
        <v>594</v>
      </c>
      <c r="I40" s="2" t="s">
        <v>595</v>
      </c>
      <c r="J40" s="2" t="s">
        <v>653</v>
      </c>
      <c r="K40" s="2" t="s">
        <v>5</v>
      </c>
      <c r="L40" s="2" t="s">
        <v>597</v>
      </c>
      <c r="M40" s="2" t="s">
        <v>42</v>
      </c>
      <c r="N40" s="2" t="s">
        <v>598</v>
      </c>
      <c r="O40" s="2" t="s">
        <v>599</v>
      </c>
    </row>
    <row r="41" spans="1:15" ht="42.75">
      <c r="A41" s="2" t="s">
        <v>656</v>
      </c>
      <c r="B41" s="2" t="s">
        <v>272</v>
      </c>
      <c r="C41" s="2" t="s">
        <v>584</v>
      </c>
      <c r="D41" s="2" t="s">
        <v>275</v>
      </c>
      <c r="E41" s="2" t="s">
        <v>604</v>
      </c>
      <c r="F41" s="2">
        <v>272.89999999999998</v>
      </c>
      <c r="G41" s="2" t="s">
        <v>652</v>
      </c>
      <c r="H41" s="2" t="s">
        <v>594</v>
      </c>
      <c r="I41" s="2" t="s">
        <v>595</v>
      </c>
      <c r="J41" s="2" t="s">
        <v>653</v>
      </c>
      <c r="K41" s="2" t="s">
        <v>5</v>
      </c>
      <c r="L41" s="2" t="s">
        <v>597</v>
      </c>
      <c r="M41" s="2" t="s">
        <v>42</v>
      </c>
      <c r="N41" s="2" t="s">
        <v>598</v>
      </c>
      <c r="O41" s="2" t="s">
        <v>599</v>
      </c>
    </row>
    <row r="42" spans="1:15" ht="42.75">
      <c r="A42" s="2" t="s">
        <v>657</v>
      </c>
      <c r="B42" s="2" t="s">
        <v>272</v>
      </c>
      <c r="C42" s="2" t="s">
        <v>584</v>
      </c>
      <c r="D42" s="2" t="s">
        <v>275</v>
      </c>
      <c r="E42" s="2" t="s">
        <v>606</v>
      </c>
      <c r="F42" s="2">
        <v>6.4</v>
      </c>
      <c r="G42" s="2" t="s">
        <v>652</v>
      </c>
      <c r="H42" s="2" t="s">
        <v>594</v>
      </c>
      <c r="I42" s="2" t="s">
        <v>595</v>
      </c>
      <c r="J42" s="2" t="s">
        <v>653</v>
      </c>
      <c r="K42" s="2" t="s">
        <v>5</v>
      </c>
      <c r="L42" s="2" t="s">
        <v>597</v>
      </c>
      <c r="M42" s="2" t="s">
        <v>42</v>
      </c>
      <c r="N42" s="2" t="s">
        <v>598</v>
      </c>
      <c r="O42" s="2" t="s">
        <v>599</v>
      </c>
    </row>
    <row r="43" spans="1:15" ht="42.75">
      <c r="A43" s="2" t="s">
        <v>658</v>
      </c>
      <c r="B43" s="2" t="s">
        <v>272</v>
      </c>
      <c r="C43" s="2" t="s">
        <v>584</v>
      </c>
      <c r="D43" s="2" t="s">
        <v>275</v>
      </c>
      <c r="E43" s="2" t="s">
        <v>608</v>
      </c>
      <c r="F43" s="2" t="s">
        <v>542</v>
      </c>
      <c r="G43" s="2" t="s">
        <v>652</v>
      </c>
      <c r="H43" s="2" t="s">
        <v>594</v>
      </c>
      <c r="I43" s="2" t="s">
        <v>595</v>
      </c>
      <c r="J43" s="2" t="s">
        <v>653</v>
      </c>
      <c r="K43" s="2" t="s">
        <v>5</v>
      </c>
      <c r="L43" s="2" t="s">
        <v>597</v>
      </c>
      <c r="M43" s="2" t="s">
        <v>42</v>
      </c>
      <c r="N43" s="2" t="s">
        <v>598</v>
      </c>
      <c r="O43" s="2" t="s">
        <v>599</v>
      </c>
    </row>
    <row r="44" spans="1:15" ht="42.75">
      <c r="A44" s="2" t="s">
        <v>659</v>
      </c>
      <c r="B44" s="2" t="s">
        <v>272</v>
      </c>
      <c r="C44" s="2" t="s">
        <v>584</v>
      </c>
      <c r="D44" s="2" t="s">
        <v>275</v>
      </c>
      <c r="E44" s="2" t="s">
        <v>610</v>
      </c>
      <c r="F44" s="2" t="s">
        <v>555</v>
      </c>
      <c r="G44" s="2" t="s">
        <v>652</v>
      </c>
      <c r="H44" s="2" t="s">
        <v>594</v>
      </c>
      <c r="I44" s="2" t="s">
        <v>595</v>
      </c>
      <c r="J44" s="2" t="s">
        <v>653</v>
      </c>
      <c r="K44" s="2" t="s">
        <v>5</v>
      </c>
      <c r="L44" s="2" t="s">
        <v>597</v>
      </c>
      <c r="M44" s="2" t="s">
        <v>42</v>
      </c>
      <c r="N44" s="2" t="s">
        <v>598</v>
      </c>
      <c r="O44" s="2" t="s">
        <v>599</v>
      </c>
    </row>
    <row r="45" spans="1:15" ht="42.75">
      <c r="A45" s="2" t="s">
        <v>660</v>
      </c>
      <c r="B45" s="2" t="s">
        <v>341</v>
      </c>
      <c r="C45" s="2" t="s">
        <v>584</v>
      </c>
      <c r="D45" s="2" t="s">
        <v>346</v>
      </c>
      <c r="E45" s="2" t="s">
        <v>592</v>
      </c>
      <c r="F45" s="2">
        <v>6.4</v>
      </c>
      <c r="G45" s="2" t="s">
        <v>661</v>
      </c>
      <c r="H45" s="2" t="s">
        <v>594</v>
      </c>
      <c r="I45" s="2" t="s">
        <v>613</v>
      </c>
      <c r="J45" s="2" t="s">
        <v>662</v>
      </c>
      <c r="K45" s="2" t="s">
        <v>5</v>
      </c>
      <c r="L45" s="2" t="s">
        <v>588</v>
      </c>
      <c r="M45" s="2" t="s">
        <v>42</v>
      </c>
      <c r="N45" s="2" t="s">
        <v>598</v>
      </c>
      <c r="O45" s="2" t="s">
        <v>599</v>
      </c>
    </row>
    <row r="46" spans="1:15" ht="42.75">
      <c r="A46" s="2" t="s">
        <v>663</v>
      </c>
      <c r="B46" s="2" t="s">
        <v>341</v>
      </c>
      <c r="C46" s="2" t="s">
        <v>584</v>
      </c>
      <c r="D46" s="2" t="s">
        <v>346</v>
      </c>
      <c r="E46" s="2" t="s">
        <v>498</v>
      </c>
      <c r="F46" s="2">
        <v>8</v>
      </c>
      <c r="G46" s="2" t="s">
        <v>661</v>
      </c>
      <c r="H46" s="2" t="s">
        <v>594</v>
      </c>
      <c r="I46" s="2" t="s">
        <v>613</v>
      </c>
      <c r="J46" s="2" t="s">
        <v>662</v>
      </c>
      <c r="K46" s="2" t="s">
        <v>5</v>
      </c>
      <c r="L46" s="2" t="s">
        <v>588</v>
      </c>
      <c r="M46" s="2" t="s">
        <v>42</v>
      </c>
      <c r="N46" s="2" t="s">
        <v>598</v>
      </c>
      <c r="O46" s="2" t="s">
        <v>599</v>
      </c>
    </row>
    <row r="47" spans="1:15" ht="42.75">
      <c r="A47" s="2" t="s">
        <v>664</v>
      </c>
      <c r="B47" s="2" t="s">
        <v>341</v>
      </c>
      <c r="C47" s="2" t="s">
        <v>584</v>
      </c>
      <c r="D47" s="2" t="s">
        <v>346</v>
      </c>
      <c r="E47" s="2" t="s">
        <v>602</v>
      </c>
      <c r="F47" s="2">
        <v>3.6</v>
      </c>
      <c r="G47" s="2" t="s">
        <v>661</v>
      </c>
      <c r="H47" s="2" t="s">
        <v>594</v>
      </c>
      <c r="I47" s="2" t="s">
        <v>613</v>
      </c>
      <c r="J47" s="2" t="s">
        <v>662</v>
      </c>
      <c r="K47" s="2" t="s">
        <v>5</v>
      </c>
      <c r="L47" s="2" t="s">
        <v>588</v>
      </c>
      <c r="M47" s="2" t="s">
        <v>42</v>
      </c>
      <c r="N47" s="2" t="s">
        <v>598</v>
      </c>
      <c r="O47" s="2" t="s">
        <v>599</v>
      </c>
    </row>
    <row r="48" spans="1:15" ht="42.75">
      <c r="A48" s="2" t="s">
        <v>665</v>
      </c>
      <c r="B48" s="2" t="s">
        <v>341</v>
      </c>
      <c r="C48" s="2" t="s">
        <v>584</v>
      </c>
      <c r="D48" s="2" t="s">
        <v>346</v>
      </c>
      <c r="E48" s="2" t="s">
        <v>604</v>
      </c>
      <c r="F48" s="2">
        <v>262.10000000000002</v>
      </c>
      <c r="G48" s="2" t="s">
        <v>661</v>
      </c>
      <c r="H48" s="2" t="s">
        <v>594</v>
      </c>
      <c r="I48" s="2" t="s">
        <v>613</v>
      </c>
      <c r="J48" s="2" t="s">
        <v>662</v>
      </c>
      <c r="K48" s="2" t="s">
        <v>5</v>
      </c>
      <c r="L48" s="2" t="s">
        <v>588</v>
      </c>
      <c r="M48" s="2" t="s">
        <v>42</v>
      </c>
      <c r="N48" s="2" t="s">
        <v>598</v>
      </c>
      <c r="O48" s="2" t="s">
        <v>599</v>
      </c>
    </row>
    <row r="49" spans="1:15" ht="42.75">
      <c r="A49" s="2" t="s">
        <v>666</v>
      </c>
      <c r="B49" s="2" t="s">
        <v>341</v>
      </c>
      <c r="C49" s="2" t="s">
        <v>584</v>
      </c>
      <c r="D49" s="2" t="s">
        <v>346</v>
      </c>
      <c r="E49" s="2" t="s">
        <v>606</v>
      </c>
      <c r="F49" s="2">
        <v>8.4</v>
      </c>
      <c r="G49" s="2" t="s">
        <v>661</v>
      </c>
      <c r="H49" s="2" t="s">
        <v>594</v>
      </c>
      <c r="I49" s="2" t="s">
        <v>613</v>
      </c>
      <c r="J49" s="2" t="s">
        <v>662</v>
      </c>
      <c r="K49" s="2" t="s">
        <v>5</v>
      </c>
      <c r="L49" s="2" t="s">
        <v>588</v>
      </c>
      <c r="M49" s="2" t="s">
        <v>42</v>
      </c>
      <c r="N49" s="2" t="s">
        <v>598</v>
      </c>
      <c r="O49" s="2" t="s">
        <v>599</v>
      </c>
    </row>
    <row r="50" spans="1:15" ht="42.75">
      <c r="A50" s="2" t="s">
        <v>667</v>
      </c>
      <c r="B50" s="2" t="s">
        <v>341</v>
      </c>
      <c r="C50" s="2" t="s">
        <v>584</v>
      </c>
      <c r="D50" s="2" t="s">
        <v>346</v>
      </c>
      <c r="E50" s="2" t="s">
        <v>608</v>
      </c>
      <c r="F50" s="2" t="s">
        <v>496</v>
      </c>
      <c r="G50" s="2" t="s">
        <v>661</v>
      </c>
      <c r="H50" s="2" t="s">
        <v>594</v>
      </c>
      <c r="I50" s="2" t="s">
        <v>613</v>
      </c>
      <c r="J50" s="2" t="s">
        <v>662</v>
      </c>
      <c r="K50" s="2" t="s">
        <v>5</v>
      </c>
      <c r="L50" s="2" t="s">
        <v>588</v>
      </c>
      <c r="M50" s="2" t="s">
        <v>42</v>
      </c>
      <c r="N50" s="2" t="s">
        <v>598</v>
      </c>
      <c r="O50" s="2" t="s">
        <v>599</v>
      </c>
    </row>
    <row r="51" spans="1:15" ht="42.75">
      <c r="A51" s="2" t="s">
        <v>668</v>
      </c>
      <c r="B51" s="2" t="s">
        <v>341</v>
      </c>
      <c r="C51" s="2" t="s">
        <v>584</v>
      </c>
      <c r="D51" s="2" t="s">
        <v>346</v>
      </c>
      <c r="E51" s="2" t="s">
        <v>610</v>
      </c>
      <c r="F51" s="2" t="s">
        <v>555</v>
      </c>
      <c r="G51" s="2" t="s">
        <v>661</v>
      </c>
      <c r="H51" s="2" t="s">
        <v>594</v>
      </c>
      <c r="I51" s="2" t="s">
        <v>613</v>
      </c>
      <c r="J51" s="2" t="s">
        <v>662</v>
      </c>
      <c r="K51" s="2" t="s">
        <v>5</v>
      </c>
      <c r="L51" s="2" t="s">
        <v>588</v>
      </c>
      <c r="M51" s="2" t="s">
        <v>42</v>
      </c>
      <c r="N51" s="2" t="s">
        <v>598</v>
      </c>
      <c r="O51" s="2" t="s">
        <v>599</v>
      </c>
    </row>
    <row r="52" spans="1:15" ht="42.75">
      <c r="A52" s="2" t="s">
        <v>669</v>
      </c>
      <c r="B52" s="2" t="s">
        <v>190</v>
      </c>
      <c r="C52" s="2" t="s">
        <v>584</v>
      </c>
      <c r="D52" s="2" t="s">
        <v>196</v>
      </c>
      <c r="E52" s="2" t="s">
        <v>592</v>
      </c>
      <c r="F52" s="2">
        <v>8</v>
      </c>
      <c r="G52" s="2" t="s">
        <v>670</v>
      </c>
      <c r="H52" s="2" t="s">
        <v>594</v>
      </c>
      <c r="I52" s="2" t="s">
        <v>595</v>
      </c>
      <c r="J52" s="2" t="s">
        <v>671</v>
      </c>
      <c r="K52" s="2" t="s">
        <v>5</v>
      </c>
      <c r="L52" s="2" t="s">
        <v>597</v>
      </c>
      <c r="M52" s="2" t="s">
        <v>42</v>
      </c>
      <c r="N52" s="2" t="s">
        <v>598</v>
      </c>
      <c r="O52" s="2" t="s">
        <v>599</v>
      </c>
    </row>
    <row r="53" spans="1:15" ht="42.75">
      <c r="A53" s="2" t="s">
        <v>672</v>
      </c>
      <c r="B53" s="2" t="s">
        <v>190</v>
      </c>
      <c r="C53" s="2" t="s">
        <v>584</v>
      </c>
      <c r="D53" s="2" t="s">
        <v>196</v>
      </c>
      <c r="E53" s="2" t="s">
        <v>498</v>
      </c>
      <c r="F53" s="2">
        <v>7.6</v>
      </c>
      <c r="G53" s="2" t="s">
        <v>670</v>
      </c>
      <c r="H53" s="2" t="s">
        <v>594</v>
      </c>
      <c r="I53" s="2" t="s">
        <v>595</v>
      </c>
      <c r="J53" s="2" t="s">
        <v>671</v>
      </c>
      <c r="K53" s="2" t="s">
        <v>5</v>
      </c>
      <c r="L53" s="2" t="s">
        <v>597</v>
      </c>
      <c r="M53" s="2" t="s">
        <v>42</v>
      </c>
      <c r="N53" s="2" t="s">
        <v>598</v>
      </c>
      <c r="O53" s="2" t="s">
        <v>599</v>
      </c>
    </row>
    <row r="54" spans="1:15" ht="42.75">
      <c r="A54" s="2" t="s">
        <v>673</v>
      </c>
      <c r="B54" s="2" t="s">
        <v>190</v>
      </c>
      <c r="C54" s="2" t="s">
        <v>584</v>
      </c>
      <c r="D54" s="2" t="s">
        <v>196</v>
      </c>
      <c r="E54" s="2" t="s">
        <v>602</v>
      </c>
      <c r="F54" s="2">
        <v>6.5</v>
      </c>
      <c r="G54" s="2" t="s">
        <v>670</v>
      </c>
      <c r="H54" s="2" t="s">
        <v>594</v>
      </c>
      <c r="I54" s="2" t="s">
        <v>595</v>
      </c>
      <c r="J54" s="2" t="s">
        <v>671</v>
      </c>
      <c r="K54" s="2" t="s">
        <v>5</v>
      </c>
      <c r="L54" s="2" t="s">
        <v>597</v>
      </c>
      <c r="M54" s="2" t="s">
        <v>42</v>
      </c>
      <c r="N54" s="2" t="s">
        <v>598</v>
      </c>
      <c r="O54" s="2" t="s">
        <v>599</v>
      </c>
    </row>
    <row r="55" spans="1:15" ht="42.75">
      <c r="A55" s="2" t="s">
        <v>674</v>
      </c>
      <c r="B55" s="2" t="s">
        <v>190</v>
      </c>
      <c r="C55" s="2" t="s">
        <v>584</v>
      </c>
      <c r="D55" s="2" t="s">
        <v>196</v>
      </c>
      <c r="E55" s="2" t="s">
        <v>604</v>
      </c>
      <c r="F55" s="2">
        <v>250.3</v>
      </c>
      <c r="G55" s="2" t="s">
        <v>670</v>
      </c>
      <c r="H55" s="2" t="s">
        <v>594</v>
      </c>
      <c r="I55" s="2" t="s">
        <v>595</v>
      </c>
      <c r="J55" s="2" t="s">
        <v>671</v>
      </c>
      <c r="K55" s="2" t="s">
        <v>5</v>
      </c>
      <c r="L55" s="2" t="s">
        <v>597</v>
      </c>
      <c r="M55" s="2" t="s">
        <v>42</v>
      </c>
      <c r="N55" s="2" t="s">
        <v>598</v>
      </c>
      <c r="O55" s="2" t="s">
        <v>599</v>
      </c>
    </row>
    <row r="56" spans="1:15" ht="42.75">
      <c r="A56" s="2" t="s">
        <v>675</v>
      </c>
      <c r="B56" s="2" t="s">
        <v>190</v>
      </c>
      <c r="C56" s="2" t="s">
        <v>584</v>
      </c>
      <c r="D56" s="2" t="s">
        <v>196</v>
      </c>
      <c r="E56" s="2" t="s">
        <v>606</v>
      </c>
      <c r="F56" s="2">
        <v>7.8</v>
      </c>
      <c r="G56" s="2" t="s">
        <v>670</v>
      </c>
      <c r="H56" s="2" t="s">
        <v>594</v>
      </c>
      <c r="I56" s="2" t="s">
        <v>595</v>
      </c>
      <c r="J56" s="2" t="s">
        <v>671</v>
      </c>
      <c r="K56" s="2" t="s">
        <v>5</v>
      </c>
      <c r="L56" s="2" t="s">
        <v>597</v>
      </c>
      <c r="M56" s="2" t="s">
        <v>42</v>
      </c>
      <c r="N56" s="2" t="s">
        <v>598</v>
      </c>
      <c r="O56" s="2" t="s">
        <v>599</v>
      </c>
    </row>
    <row r="57" spans="1:15" ht="42.75">
      <c r="A57" s="2" t="s">
        <v>676</v>
      </c>
      <c r="B57" s="2" t="s">
        <v>190</v>
      </c>
      <c r="C57" s="2" t="s">
        <v>584</v>
      </c>
      <c r="D57" s="2" t="s">
        <v>196</v>
      </c>
      <c r="E57" s="2" t="s">
        <v>608</v>
      </c>
      <c r="F57" s="2" t="s">
        <v>542</v>
      </c>
      <c r="G57" s="2" t="s">
        <v>670</v>
      </c>
      <c r="H57" s="2" t="s">
        <v>594</v>
      </c>
      <c r="I57" s="2" t="s">
        <v>595</v>
      </c>
      <c r="J57" s="2" t="s">
        <v>671</v>
      </c>
      <c r="K57" s="2" t="s">
        <v>5</v>
      </c>
      <c r="L57" s="2" t="s">
        <v>597</v>
      </c>
      <c r="M57" s="2" t="s">
        <v>42</v>
      </c>
      <c r="N57" s="2" t="s">
        <v>598</v>
      </c>
      <c r="O57" s="2" t="s">
        <v>599</v>
      </c>
    </row>
    <row r="58" spans="1:15" ht="42.75">
      <c r="A58" s="2" t="s">
        <v>677</v>
      </c>
      <c r="B58" s="2" t="s">
        <v>190</v>
      </c>
      <c r="C58" s="2" t="s">
        <v>584</v>
      </c>
      <c r="D58" s="2" t="s">
        <v>196</v>
      </c>
      <c r="E58" s="2" t="s">
        <v>610</v>
      </c>
      <c r="F58" s="2" t="s">
        <v>555</v>
      </c>
      <c r="G58" s="2" t="s">
        <v>670</v>
      </c>
      <c r="H58" s="2" t="s">
        <v>594</v>
      </c>
      <c r="I58" s="2" t="s">
        <v>595</v>
      </c>
      <c r="J58" s="2" t="s">
        <v>671</v>
      </c>
      <c r="K58" s="2" t="s">
        <v>5</v>
      </c>
      <c r="L58" s="2" t="s">
        <v>597</v>
      </c>
      <c r="M58" s="2" t="s">
        <v>42</v>
      </c>
      <c r="N58" s="2" t="s">
        <v>598</v>
      </c>
      <c r="O58" s="2" t="s">
        <v>599</v>
      </c>
    </row>
    <row r="59" spans="1:15" ht="42.75">
      <c r="A59" s="2" t="s">
        <v>678</v>
      </c>
      <c r="B59" s="2" t="s">
        <v>200</v>
      </c>
      <c r="C59" s="2" t="s">
        <v>584</v>
      </c>
      <c r="D59" s="2" t="s">
        <v>203</v>
      </c>
      <c r="E59" s="2" t="s">
        <v>592</v>
      </c>
      <c r="F59" s="2">
        <v>7.1</v>
      </c>
      <c r="G59" s="2" t="s">
        <v>679</v>
      </c>
      <c r="H59" s="2" t="s">
        <v>594</v>
      </c>
      <c r="I59" s="2" t="s">
        <v>595</v>
      </c>
      <c r="J59" s="2" t="s">
        <v>680</v>
      </c>
      <c r="K59" s="2" t="s">
        <v>5</v>
      </c>
      <c r="L59" s="2" t="s">
        <v>597</v>
      </c>
      <c r="M59" s="2" t="s">
        <v>42</v>
      </c>
      <c r="N59" s="2" t="s">
        <v>598</v>
      </c>
      <c r="O59" s="2" t="s">
        <v>599</v>
      </c>
    </row>
    <row r="60" spans="1:15" ht="42.75">
      <c r="A60" s="2" t="s">
        <v>681</v>
      </c>
      <c r="B60" s="2" t="s">
        <v>200</v>
      </c>
      <c r="C60" s="2" t="s">
        <v>584</v>
      </c>
      <c r="D60" s="2" t="s">
        <v>203</v>
      </c>
      <c r="E60" s="2" t="s">
        <v>498</v>
      </c>
      <c r="F60" s="2">
        <v>8.4</v>
      </c>
      <c r="G60" s="2" t="s">
        <v>679</v>
      </c>
      <c r="H60" s="2" t="s">
        <v>594</v>
      </c>
      <c r="I60" s="2" t="s">
        <v>595</v>
      </c>
      <c r="J60" s="2" t="s">
        <v>680</v>
      </c>
      <c r="K60" s="2" t="s">
        <v>5</v>
      </c>
      <c r="L60" s="2" t="s">
        <v>597</v>
      </c>
      <c r="M60" s="2" t="s">
        <v>42</v>
      </c>
      <c r="N60" s="2" t="s">
        <v>598</v>
      </c>
      <c r="O60" s="2" t="s">
        <v>599</v>
      </c>
    </row>
    <row r="61" spans="1:15" ht="42.75">
      <c r="A61" s="2" t="s">
        <v>682</v>
      </c>
      <c r="B61" s="2" t="s">
        <v>200</v>
      </c>
      <c r="C61" s="2" t="s">
        <v>584</v>
      </c>
      <c r="D61" s="2" t="s">
        <v>203</v>
      </c>
      <c r="E61" s="2" t="s">
        <v>602</v>
      </c>
      <c r="F61" s="2">
        <v>6.7</v>
      </c>
      <c r="G61" s="2" t="s">
        <v>679</v>
      </c>
      <c r="H61" s="2" t="s">
        <v>594</v>
      </c>
      <c r="I61" s="2" t="s">
        <v>595</v>
      </c>
      <c r="J61" s="2" t="s">
        <v>680</v>
      </c>
      <c r="K61" s="2" t="s">
        <v>5</v>
      </c>
      <c r="L61" s="2" t="s">
        <v>597</v>
      </c>
      <c r="M61" s="2" t="s">
        <v>42</v>
      </c>
      <c r="N61" s="2" t="s">
        <v>598</v>
      </c>
      <c r="O61" s="2" t="s">
        <v>599</v>
      </c>
    </row>
    <row r="62" spans="1:15" ht="42.75">
      <c r="A62" s="2" t="s">
        <v>683</v>
      </c>
      <c r="B62" s="2" t="s">
        <v>200</v>
      </c>
      <c r="C62" s="2" t="s">
        <v>584</v>
      </c>
      <c r="D62" s="2" t="s">
        <v>203</v>
      </c>
      <c r="E62" s="2" t="s">
        <v>604</v>
      </c>
      <c r="F62" s="2">
        <v>286.60000000000002</v>
      </c>
      <c r="G62" s="2" t="s">
        <v>679</v>
      </c>
      <c r="H62" s="2" t="s">
        <v>594</v>
      </c>
      <c r="I62" s="2" t="s">
        <v>595</v>
      </c>
      <c r="J62" s="2" t="s">
        <v>680</v>
      </c>
      <c r="K62" s="2" t="s">
        <v>5</v>
      </c>
      <c r="L62" s="2" t="s">
        <v>597</v>
      </c>
      <c r="M62" s="2" t="s">
        <v>42</v>
      </c>
      <c r="N62" s="2" t="s">
        <v>598</v>
      </c>
      <c r="O62" s="2" t="s">
        <v>599</v>
      </c>
    </row>
    <row r="63" spans="1:15" ht="42.75">
      <c r="A63" s="2" t="s">
        <v>684</v>
      </c>
      <c r="B63" s="2" t="s">
        <v>200</v>
      </c>
      <c r="C63" s="2" t="s">
        <v>584</v>
      </c>
      <c r="D63" s="2" t="s">
        <v>203</v>
      </c>
      <c r="E63" s="2" t="s">
        <v>606</v>
      </c>
      <c r="F63" s="2">
        <v>7.3</v>
      </c>
      <c r="G63" s="2" t="s">
        <v>679</v>
      </c>
      <c r="H63" s="2" t="s">
        <v>594</v>
      </c>
      <c r="I63" s="2" t="s">
        <v>595</v>
      </c>
      <c r="J63" s="2" t="s">
        <v>680</v>
      </c>
      <c r="K63" s="2" t="s">
        <v>5</v>
      </c>
      <c r="L63" s="2" t="s">
        <v>597</v>
      </c>
      <c r="M63" s="2" t="s">
        <v>42</v>
      </c>
      <c r="N63" s="2" t="s">
        <v>598</v>
      </c>
      <c r="O63" s="2" t="s">
        <v>599</v>
      </c>
    </row>
    <row r="64" spans="1:15" ht="42.75">
      <c r="A64" s="2" t="s">
        <v>685</v>
      </c>
      <c r="B64" s="2" t="s">
        <v>200</v>
      </c>
      <c r="C64" s="2" t="s">
        <v>584</v>
      </c>
      <c r="D64" s="2" t="s">
        <v>203</v>
      </c>
      <c r="E64" s="2" t="s">
        <v>608</v>
      </c>
      <c r="F64" s="2" t="s">
        <v>542</v>
      </c>
      <c r="G64" s="2" t="s">
        <v>679</v>
      </c>
      <c r="H64" s="2" t="s">
        <v>594</v>
      </c>
      <c r="I64" s="2" t="s">
        <v>595</v>
      </c>
      <c r="J64" s="2" t="s">
        <v>680</v>
      </c>
      <c r="K64" s="2" t="s">
        <v>5</v>
      </c>
      <c r="L64" s="2" t="s">
        <v>597</v>
      </c>
      <c r="M64" s="2" t="s">
        <v>42</v>
      </c>
      <c r="N64" s="2" t="s">
        <v>598</v>
      </c>
      <c r="O64" s="2" t="s">
        <v>599</v>
      </c>
    </row>
    <row r="65" spans="1:15" ht="42.75">
      <c r="A65" s="2" t="s">
        <v>686</v>
      </c>
      <c r="B65" s="2" t="s">
        <v>200</v>
      </c>
      <c r="C65" s="2" t="s">
        <v>584</v>
      </c>
      <c r="D65" s="2" t="s">
        <v>203</v>
      </c>
      <c r="E65" s="2" t="s">
        <v>610</v>
      </c>
      <c r="F65" s="2" t="s">
        <v>555</v>
      </c>
      <c r="G65" s="2" t="s">
        <v>679</v>
      </c>
      <c r="H65" s="2" t="s">
        <v>594</v>
      </c>
      <c r="I65" s="2" t="s">
        <v>595</v>
      </c>
      <c r="J65" s="2" t="s">
        <v>680</v>
      </c>
      <c r="K65" s="2" t="s">
        <v>5</v>
      </c>
      <c r="L65" s="2" t="s">
        <v>597</v>
      </c>
      <c r="M65" s="2" t="s">
        <v>42</v>
      </c>
      <c r="N65" s="2" t="s">
        <v>598</v>
      </c>
      <c r="O65" s="2" t="s">
        <v>599</v>
      </c>
    </row>
    <row r="66" spans="1:15" ht="42.75">
      <c r="A66" s="2" t="s">
        <v>687</v>
      </c>
      <c r="B66" s="2" t="s">
        <v>93</v>
      </c>
      <c r="C66" s="2" t="s">
        <v>584</v>
      </c>
      <c r="D66" s="2" t="s">
        <v>96</v>
      </c>
      <c r="E66" s="2" t="s">
        <v>592</v>
      </c>
      <c r="F66" s="2">
        <v>7.7</v>
      </c>
      <c r="G66" s="2" t="s">
        <v>688</v>
      </c>
      <c r="H66" s="2" t="s">
        <v>594</v>
      </c>
      <c r="I66" s="2" t="s">
        <v>595</v>
      </c>
      <c r="J66" s="2" t="s">
        <v>689</v>
      </c>
      <c r="K66" s="2" t="s">
        <v>5</v>
      </c>
      <c r="L66" s="2" t="s">
        <v>597</v>
      </c>
      <c r="M66" s="2" t="s">
        <v>42</v>
      </c>
      <c r="N66" s="2" t="s">
        <v>598</v>
      </c>
      <c r="O66" s="2" t="s">
        <v>599</v>
      </c>
    </row>
    <row r="67" spans="1:15" ht="42.75">
      <c r="A67" s="2" t="s">
        <v>690</v>
      </c>
      <c r="B67" s="2" t="s">
        <v>93</v>
      </c>
      <c r="C67" s="2" t="s">
        <v>584</v>
      </c>
      <c r="D67" s="2" t="s">
        <v>96</v>
      </c>
      <c r="E67" s="2" t="s">
        <v>498</v>
      </c>
      <c r="F67" s="2">
        <v>8.1</v>
      </c>
      <c r="G67" s="2" t="s">
        <v>688</v>
      </c>
      <c r="H67" s="2" t="s">
        <v>594</v>
      </c>
      <c r="I67" s="2" t="s">
        <v>595</v>
      </c>
      <c r="J67" s="2" t="s">
        <v>689</v>
      </c>
      <c r="K67" s="2" t="s">
        <v>5</v>
      </c>
      <c r="L67" s="2" t="s">
        <v>597</v>
      </c>
      <c r="M67" s="2" t="s">
        <v>42</v>
      </c>
      <c r="N67" s="2" t="s">
        <v>598</v>
      </c>
      <c r="O67" s="2" t="s">
        <v>599</v>
      </c>
    </row>
    <row r="68" spans="1:15" ht="42.75">
      <c r="A68" s="2" t="s">
        <v>691</v>
      </c>
      <c r="B68" s="2" t="s">
        <v>93</v>
      </c>
      <c r="C68" s="2" t="s">
        <v>584</v>
      </c>
      <c r="D68" s="2" t="s">
        <v>96</v>
      </c>
      <c r="E68" s="2" t="s">
        <v>602</v>
      </c>
      <c r="F68" s="2">
        <v>5.7</v>
      </c>
      <c r="G68" s="2" t="s">
        <v>688</v>
      </c>
      <c r="H68" s="2" t="s">
        <v>594</v>
      </c>
      <c r="I68" s="2" t="s">
        <v>595</v>
      </c>
      <c r="J68" s="2" t="s">
        <v>689</v>
      </c>
      <c r="K68" s="2" t="s">
        <v>5</v>
      </c>
      <c r="L68" s="2" t="s">
        <v>597</v>
      </c>
      <c r="M68" s="2" t="s">
        <v>42</v>
      </c>
      <c r="N68" s="2" t="s">
        <v>598</v>
      </c>
      <c r="O68" s="2" t="s">
        <v>599</v>
      </c>
    </row>
    <row r="69" spans="1:15" ht="42.75">
      <c r="A69" s="2" t="s">
        <v>692</v>
      </c>
      <c r="B69" s="2" t="s">
        <v>93</v>
      </c>
      <c r="C69" s="2" t="s">
        <v>584</v>
      </c>
      <c r="D69" s="2" t="s">
        <v>96</v>
      </c>
      <c r="E69" s="2" t="s">
        <v>604</v>
      </c>
      <c r="F69" s="2">
        <v>297.5</v>
      </c>
      <c r="G69" s="2" t="s">
        <v>688</v>
      </c>
      <c r="H69" s="2" t="s">
        <v>594</v>
      </c>
      <c r="I69" s="2" t="s">
        <v>595</v>
      </c>
      <c r="J69" s="2" t="s">
        <v>689</v>
      </c>
      <c r="K69" s="2" t="s">
        <v>5</v>
      </c>
      <c r="L69" s="2" t="s">
        <v>597</v>
      </c>
      <c r="M69" s="2" t="s">
        <v>42</v>
      </c>
      <c r="N69" s="2" t="s">
        <v>598</v>
      </c>
      <c r="O69" s="2" t="s">
        <v>599</v>
      </c>
    </row>
    <row r="70" spans="1:15" ht="42.75">
      <c r="A70" s="2" t="s">
        <v>693</v>
      </c>
      <c r="B70" s="2" t="s">
        <v>93</v>
      </c>
      <c r="C70" s="2" t="s">
        <v>584</v>
      </c>
      <c r="D70" s="2" t="s">
        <v>96</v>
      </c>
      <c r="E70" s="2" t="s">
        <v>606</v>
      </c>
      <c r="F70" s="2">
        <v>10.3</v>
      </c>
      <c r="G70" s="2" t="s">
        <v>688</v>
      </c>
      <c r="H70" s="2" t="s">
        <v>594</v>
      </c>
      <c r="I70" s="2" t="s">
        <v>595</v>
      </c>
      <c r="J70" s="2" t="s">
        <v>689</v>
      </c>
      <c r="K70" s="2" t="s">
        <v>5</v>
      </c>
      <c r="L70" s="2" t="s">
        <v>597</v>
      </c>
      <c r="M70" s="2" t="s">
        <v>42</v>
      </c>
      <c r="N70" s="2" t="s">
        <v>598</v>
      </c>
      <c r="O70" s="2" t="s">
        <v>599</v>
      </c>
    </row>
    <row r="71" spans="1:15" ht="42.75">
      <c r="A71" s="2" t="s">
        <v>694</v>
      </c>
      <c r="B71" s="2" t="s">
        <v>93</v>
      </c>
      <c r="C71" s="2" t="s">
        <v>584</v>
      </c>
      <c r="D71" s="2" t="s">
        <v>96</v>
      </c>
      <c r="E71" s="2" t="s">
        <v>608</v>
      </c>
      <c r="F71" s="2" t="s">
        <v>542</v>
      </c>
      <c r="G71" s="2" t="s">
        <v>688</v>
      </c>
      <c r="H71" s="2" t="s">
        <v>594</v>
      </c>
      <c r="I71" s="2" t="s">
        <v>595</v>
      </c>
      <c r="J71" s="2" t="s">
        <v>689</v>
      </c>
      <c r="K71" s="2" t="s">
        <v>5</v>
      </c>
      <c r="L71" s="2" t="s">
        <v>597</v>
      </c>
      <c r="M71" s="2" t="s">
        <v>42</v>
      </c>
      <c r="N71" s="2" t="s">
        <v>598</v>
      </c>
      <c r="O71" s="2" t="s">
        <v>599</v>
      </c>
    </row>
    <row r="72" spans="1:15" ht="42.75">
      <c r="A72" s="2" t="s">
        <v>695</v>
      </c>
      <c r="B72" s="2" t="s">
        <v>93</v>
      </c>
      <c r="C72" s="2" t="s">
        <v>584</v>
      </c>
      <c r="D72" s="2" t="s">
        <v>96</v>
      </c>
      <c r="E72" s="2" t="s">
        <v>610</v>
      </c>
      <c r="F72" s="2" t="s">
        <v>555</v>
      </c>
      <c r="G72" s="2" t="s">
        <v>688</v>
      </c>
      <c r="H72" s="2" t="s">
        <v>594</v>
      </c>
      <c r="I72" s="2" t="s">
        <v>595</v>
      </c>
      <c r="J72" s="2" t="s">
        <v>689</v>
      </c>
      <c r="K72" s="2" t="s">
        <v>5</v>
      </c>
      <c r="L72" s="2" t="s">
        <v>597</v>
      </c>
      <c r="M72" s="2" t="s">
        <v>42</v>
      </c>
      <c r="N72" s="2" t="s">
        <v>598</v>
      </c>
      <c r="O72" s="2" t="s">
        <v>599</v>
      </c>
    </row>
    <row r="73" spans="1:15" ht="42.75">
      <c r="A73" s="2" t="s">
        <v>696</v>
      </c>
      <c r="B73" s="2" t="s">
        <v>371</v>
      </c>
      <c r="C73" s="2" t="s">
        <v>584</v>
      </c>
      <c r="D73" s="2" t="s">
        <v>375</v>
      </c>
      <c r="E73" s="2" t="s">
        <v>592</v>
      </c>
      <c r="F73" s="2">
        <v>6.7</v>
      </c>
      <c r="G73" s="2" t="s">
        <v>697</v>
      </c>
      <c r="H73" s="2" t="s">
        <v>594</v>
      </c>
      <c r="I73" s="2" t="s">
        <v>613</v>
      </c>
      <c r="J73" s="2" t="s">
        <v>698</v>
      </c>
      <c r="K73" s="2" t="s">
        <v>5</v>
      </c>
      <c r="L73" s="2" t="s">
        <v>588</v>
      </c>
      <c r="M73" s="2" t="s">
        <v>42</v>
      </c>
      <c r="N73" s="2" t="s">
        <v>598</v>
      </c>
      <c r="O73" s="2" t="s">
        <v>599</v>
      </c>
    </row>
    <row r="74" spans="1:15" ht="42.75">
      <c r="A74" s="2" t="s">
        <v>699</v>
      </c>
      <c r="B74" s="2" t="s">
        <v>371</v>
      </c>
      <c r="C74" s="2" t="s">
        <v>584</v>
      </c>
      <c r="D74" s="2" t="s">
        <v>375</v>
      </c>
      <c r="E74" s="2" t="s">
        <v>498</v>
      </c>
      <c r="F74" s="2">
        <v>7.6</v>
      </c>
      <c r="G74" s="2" t="s">
        <v>697</v>
      </c>
      <c r="H74" s="2" t="s">
        <v>594</v>
      </c>
      <c r="I74" s="2" t="s">
        <v>613</v>
      </c>
      <c r="J74" s="2" t="s">
        <v>698</v>
      </c>
      <c r="K74" s="2" t="s">
        <v>5</v>
      </c>
      <c r="L74" s="2" t="s">
        <v>588</v>
      </c>
      <c r="M74" s="2" t="s">
        <v>42</v>
      </c>
      <c r="N74" s="2" t="s">
        <v>598</v>
      </c>
      <c r="O74" s="2" t="s">
        <v>599</v>
      </c>
    </row>
    <row r="75" spans="1:15" ht="42.75">
      <c r="A75" s="2" t="s">
        <v>700</v>
      </c>
      <c r="B75" s="2" t="s">
        <v>371</v>
      </c>
      <c r="C75" s="2" t="s">
        <v>584</v>
      </c>
      <c r="D75" s="2" t="s">
        <v>375</v>
      </c>
      <c r="E75" s="2" t="s">
        <v>602</v>
      </c>
      <c r="F75" s="2">
        <v>7.6</v>
      </c>
      <c r="G75" s="2" t="s">
        <v>697</v>
      </c>
      <c r="H75" s="2" t="s">
        <v>594</v>
      </c>
      <c r="I75" s="2" t="s">
        <v>613</v>
      </c>
      <c r="J75" s="2" t="s">
        <v>698</v>
      </c>
      <c r="K75" s="2" t="s">
        <v>5</v>
      </c>
      <c r="L75" s="2" t="s">
        <v>588</v>
      </c>
      <c r="M75" s="2" t="s">
        <v>42</v>
      </c>
      <c r="N75" s="2" t="s">
        <v>598</v>
      </c>
      <c r="O75" s="2" t="s">
        <v>599</v>
      </c>
    </row>
    <row r="76" spans="1:15" ht="42.75">
      <c r="A76" s="2" t="s">
        <v>701</v>
      </c>
      <c r="B76" s="2" t="s">
        <v>371</v>
      </c>
      <c r="C76" s="2" t="s">
        <v>584</v>
      </c>
      <c r="D76" s="2" t="s">
        <v>375</v>
      </c>
      <c r="E76" s="2" t="s">
        <v>604</v>
      </c>
      <c r="F76" s="2">
        <v>232.3</v>
      </c>
      <c r="G76" s="2" t="s">
        <v>697</v>
      </c>
      <c r="H76" s="2" t="s">
        <v>594</v>
      </c>
      <c r="I76" s="2" t="s">
        <v>613</v>
      </c>
      <c r="J76" s="2" t="s">
        <v>698</v>
      </c>
      <c r="K76" s="2" t="s">
        <v>5</v>
      </c>
      <c r="L76" s="2" t="s">
        <v>588</v>
      </c>
      <c r="M76" s="2" t="s">
        <v>42</v>
      </c>
      <c r="N76" s="2" t="s">
        <v>598</v>
      </c>
      <c r="O76" s="2" t="s">
        <v>599</v>
      </c>
    </row>
    <row r="77" spans="1:15" ht="42.75">
      <c r="A77" s="2" t="s">
        <v>702</v>
      </c>
      <c r="B77" s="2" t="s">
        <v>371</v>
      </c>
      <c r="C77" s="2" t="s">
        <v>584</v>
      </c>
      <c r="D77" s="2" t="s">
        <v>375</v>
      </c>
      <c r="E77" s="2" t="s">
        <v>606</v>
      </c>
      <c r="F77" s="2">
        <v>10.1</v>
      </c>
      <c r="G77" s="2" t="s">
        <v>697</v>
      </c>
      <c r="H77" s="2" t="s">
        <v>594</v>
      </c>
      <c r="I77" s="2" t="s">
        <v>613</v>
      </c>
      <c r="J77" s="2" t="s">
        <v>698</v>
      </c>
      <c r="K77" s="2" t="s">
        <v>5</v>
      </c>
      <c r="L77" s="2" t="s">
        <v>588</v>
      </c>
      <c r="M77" s="2" t="s">
        <v>42</v>
      </c>
      <c r="N77" s="2" t="s">
        <v>598</v>
      </c>
      <c r="O77" s="2" t="s">
        <v>599</v>
      </c>
    </row>
    <row r="78" spans="1:15" ht="42.75">
      <c r="A78" s="2" t="s">
        <v>703</v>
      </c>
      <c r="B78" s="2" t="s">
        <v>371</v>
      </c>
      <c r="C78" s="2" t="s">
        <v>584</v>
      </c>
      <c r="D78" s="2" t="s">
        <v>375</v>
      </c>
      <c r="E78" s="2" t="s">
        <v>608</v>
      </c>
      <c r="F78" s="2" t="s">
        <v>542</v>
      </c>
      <c r="G78" s="2" t="s">
        <v>697</v>
      </c>
      <c r="H78" s="2" t="s">
        <v>594</v>
      </c>
      <c r="I78" s="2" t="s">
        <v>613</v>
      </c>
      <c r="J78" s="2" t="s">
        <v>698</v>
      </c>
      <c r="K78" s="2" t="s">
        <v>5</v>
      </c>
      <c r="L78" s="2" t="s">
        <v>588</v>
      </c>
      <c r="M78" s="2" t="s">
        <v>42</v>
      </c>
      <c r="N78" s="2" t="s">
        <v>598</v>
      </c>
      <c r="O78" s="2" t="s">
        <v>599</v>
      </c>
    </row>
    <row r="79" spans="1:15" ht="42.75">
      <c r="A79" s="2" t="s">
        <v>704</v>
      </c>
      <c r="B79" s="2" t="s">
        <v>371</v>
      </c>
      <c r="C79" s="2" t="s">
        <v>584</v>
      </c>
      <c r="D79" s="2" t="s">
        <v>375</v>
      </c>
      <c r="E79" s="2" t="s">
        <v>610</v>
      </c>
      <c r="F79" s="2" t="s">
        <v>621</v>
      </c>
      <c r="G79" s="2" t="s">
        <v>697</v>
      </c>
      <c r="H79" s="2" t="s">
        <v>594</v>
      </c>
      <c r="I79" s="2" t="s">
        <v>613</v>
      </c>
      <c r="J79" s="2" t="s">
        <v>698</v>
      </c>
      <c r="K79" s="2" t="s">
        <v>5</v>
      </c>
      <c r="L79" s="2" t="s">
        <v>588</v>
      </c>
      <c r="M79" s="2" t="s">
        <v>42</v>
      </c>
      <c r="N79" s="2" t="s">
        <v>598</v>
      </c>
      <c r="O79" s="2" t="s">
        <v>599</v>
      </c>
    </row>
    <row r="80" spans="1:15" ht="42.75">
      <c r="A80" s="2" t="s">
        <v>705</v>
      </c>
      <c r="B80" s="2" t="s">
        <v>318</v>
      </c>
      <c r="C80" s="2" t="s">
        <v>584</v>
      </c>
      <c r="D80" s="2" t="s">
        <v>321</v>
      </c>
      <c r="E80" s="2" t="s">
        <v>592</v>
      </c>
      <c r="F80" s="2">
        <v>7.8</v>
      </c>
      <c r="G80" s="2" t="s">
        <v>706</v>
      </c>
      <c r="H80" s="2" t="s">
        <v>594</v>
      </c>
      <c r="I80" s="2" t="s">
        <v>707</v>
      </c>
      <c r="J80" s="2" t="s">
        <v>708</v>
      </c>
      <c r="K80" s="2" t="s">
        <v>5</v>
      </c>
      <c r="L80" s="2" t="s">
        <v>588</v>
      </c>
      <c r="M80" s="2" t="s">
        <v>42</v>
      </c>
      <c r="N80" s="2" t="s">
        <v>598</v>
      </c>
      <c r="O80" s="2" t="s">
        <v>599</v>
      </c>
    </row>
    <row r="81" spans="1:15" ht="42.75">
      <c r="A81" s="2" t="s">
        <v>709</v>
      </c>
      <c r="B81" s="2" t="s">
        <v>318</v>
      </c>
      <c r="C81" s="2" t="s">
        <v>584</v>
      </c>
      <c r="D81" s="2" t="s">
        <v>321</v>
      </c>
      <c r="E81" s="2" t="s">
        <v>498</v>
      </c>
      <c r="F81" s="2">
        <v>8</v>
      </c>
      <c r="G81" s="2" t="s">
        <v>706</v>
      </c>
      <c r="H81" s="2" t="s">
        <v>594</v>
      </c>
      <c r="I81" s="2" t="s">
        <v>707</v>
      </c>
      <c r="J81" s="2" t="s">
        <v>708</v>
      </c>
      <c r="K81" s="2" t="s">
        <v>5</v>
      </c>
      <c r="L81" s="2" t="s">
        <v>588</v>
      </c>
      <c r="M81" s="2" t="s">
        <v>42</v>
      </c>
      <c r="N81" s="2" t="s">
        <v>598</v>
      </c>
      <c r="O81" s="2" t="s">
        <v>599</v>
      </c>
    </row>
    <row r="82" spans="1:15" ht="42.75">
      <c r="A82" s="2" t="s">
        <v>710</v>
      </c>
      <c r="B82" s="2" t="s">
        <v>318</v>
      </c>
      <c r="C82" s="2" t="s">
        <v>584</v>
      </c>
      <c r="D82" s="2" t="s">
        <v>321</v>
      </c>
      <c r="E82" s="2" t="s">
        <v>602</v>
      </c>
      <c r="F82" s="2" t="s">
        <v>711</v>
      </c>
      <c r="G82" s="2" t="s">
        <v>706</v>
      </c>
      <c r="H82" s="2" t="s">
        <v>594</v>
      </c>
      <c r="I82" s="2" t="s">
        <v>707</v>
      </c>
      <c r="J82" s="2" t="s">
        <v>708</v>
      </c>
      <c r="K82" s="2" t="s">
        <v>5</v>
      </c>
      <c r="L82" s="2" t="s">
        <v>588</v>
      </c>
      <c r="M82" s="2" t="s">
        <v>42</v>
      </c>
      <c r="N82" s="2" t="s">
        <v>598</v>
      </c>
      <c r="O82" s="2" t="s">
        <v>599</v>
      </c>
    </row>
    <row r="83" spans="1:15" ht="42.75">
      <c r="A83" s="2" t="s">
        <v>712</v>
      </c>
      <c r="B83" s="2" t="s">
        <v>318</v>
      </c>
      <c r="C83" s="2" t="s">
        <v>584</v>
      </c>
      <c r="D83" s="2" t="s">
        <v>321</v>
      </c>
      <c r="E83" s="2" t="s">
        <v>604</v>
      </c>
      <c r="F83" s="2">
        <v>264.8</v>
      </c>
      <c r="G83" s="2" t="s">
        <v>706</v>
      </c>
      <c r="H83" s="2" t="s">
        <v>594</v>
      </c>
      <c r="I83" s="2" t="s">
        <v>707</v>
      </c>
      <c r="J83" s="2" t="s">
        <v>708</v>
      </c>
      <c r="K83" s="2" t="s">
        <v>5</v>
      </c>
      <c r="L83" s="2" t="s">
        <v>588</v>
      </c>
      <c r="M83" s="2" t="s">
        <v>42</v>
      </c>
      <c r="N83" s="2" t="s">
        <v>598</v>
      </c>
      <c r="O83" s="2" t="s">
        <v>599</v>
      </c>
    </row>
    <row r="84" spans="1:15" ht="42.75">
      <c r="A84" s="2" t="s">
        <v>713</v>
      </c>
      <c r="B84" s="2" t="s">
        <v>318</v>
      </c>
      <c r="C84" s="2" t="s">
        <v>584</v>
      </c>
      <c r="D84" s="2" t="s">
        <v>321</v>
      </c>
      <c r="E84" s="2" t="s">
        <v>606</v>
      </c>
      <c r="F84" s="2">
        <v>9.6</v>
      </c>
      <c r="G84" s="2" t="s">
        <v>706</v>
      </c>
      <c r="H84" s="2" t="s">
        <v>594</v>
      </c>
      <c r="I84" s="2" t="s">
        <v>707</v>
      </c>
      <c r="J84" s="2" t="s">
        <v>708</v>
      </c>
      <c r="K84" s="2" t="s">
        <v>5</v>
      </c>
      <c r="L84" s="2" t="s">
        <v>588</v>
      </c>
      <c r="M84" s="2" t="s">
        <v>42</v>
      </c>
      <c r="N84" s="2" t="s">
        <v>598</v>
      </c>
      <c r="O84" s="2" t="s">
        <v>599</v>
      </c>
    </row>
    <row r="85" spans="1:15" ht="42.75">
      <c r="A85" s="2" t="s">
        <v>714</v>
      </c>
      <c r="B85" s="2" t="s">
        <v>318</v>
      </c>
      <c r="C85" s="2" t="s">
        <v>584</v>
      </c>
      <c r="D85" s="2" t="s">
        <v>321</v>
      </c>
      <c r="E85" s="2" t="s">
        <v>608</v>
      </c>
      <c r="F85" s="2" t="s">
        <v>542</v>
      </c>
      <c r="G85" s="2" t="s">
        <v>706</v>
      </c>
      <c r="H85" s="2" t="s">
        <v>594</v>
      </c>
      <c r="I85" s="2" t="s">
        <v>707</v>
      </c>
      <c r="J85" s="2" t="s">
        <v>708</v>
      </c>
      <c r="K85" s="2" t="s">
        <v>5</v>
      </c>
      <c r="L85" s="2" t="s">
        <v>588</v>
      </c>
      <c r="M85" s="2" t="s">
        <v>42</v>
      </c>
      <c r="N85" s="2" t="s">
        <v>598</v>
      </c>
      <c r="O85" s="2" t="s">
        <v>599</v>
      </c>
    </row>
    <row r="86" spans="1:15" ht="42.75">
      <c r="A86" s="2" t="s">
        <v>715</v>
      </c>
      <c r="B86" s="2" t="s">
        <v>318</v>
      </c>
      <c r="C86" s="2" t="s">
        <v>584</v>
      </c>
      <c r="D86" s="2" t="s">
        <v>321</v>
      </c>
      <c r="E86" s="2" t="s">
        <v>610</v>
      </c>
      <c r="F86" s="2" t="s">
        <v>555</v>
      </c>
      <c r="G86" s="2" t="s">
        <v>706</v>
      </c>
      <c r="H86" s="2" t="s">
        <v>594</v>
      </c>
      <c r="I86" s="2" t="s">
        <v>707</v>
      </c>
      <c r="J86" s="2" t="s">
        <v>708</v>
      </c>
      <c r="K86" s="2" t="s">
        <v>5</v>
      </c>
      <c r="L86" s="2" t="s">
        <v>588</v>
      </c>
      <c r="M86" s="2" t="s">
        <v>42</v>
      </c>
      <c r="N86" s="2" t="s">
        <v>598</v>
      </c>
      <c r="O86" s="2" t="s">
        <v>599</v>
      </c>
    </row>
    <row r="87" spans="1:15" ht="42.75">
      <c r="A87" s="2" t="s">
        <v>716</v>
      </c>
      <c r="B87" s="2" t="s">
        <v>259</v>
      </c>
      <c r="C87" s="2" t="s">
        <v>584</v>
      </c>
      <c r="D87" s="2" t="s">
        <v>264</v>
      </c>
      <c r="E87" s="2" t="s">
        <v>592</v>
      </c>
      <c r="F87" s="2">
        <v>7.7</v>
      </c>
      <c r="G87" s="2" t="s">
        <v>717</v>
      </c>
      <c r="H87" s="2" t="s">
        <v>594</v>
      </c>
      <c r="I87" s="2" t="s">
        <v>595</v>
      </c>
      <c r="J87" s="2" t="s">
        <v>718</v>
      </c>
      <c r="K87" s="2" t="s">
        <v>5</v>
      </c>
      <c r="L87" s="2" t="s">
        <v>597</v>
      </c>
      <c r="M87" s="2" t="s">
        <v>42</v>
      </c>
      <c r="N87" s="2" t="s">
        <v>598</v>
      </c>
      <c r="O87" s="2" t="s">
        <v>599</v>
      </c>
    </row>
    <row r="88" spans="1:15" ht="42.75">
      <c r="A88" s="2" t="s">
        <v>719</v>
      </c>
      <c r="B88" s="2" t="s">
        <v>259</v>
      </c>
      <c r="C88" s="2" t="s">
        <v>584</v>
      </c>
      <c r="D88" s="2" t="s">
        <v>264</v>
      </c>
      <c r="E88" s="2" t="s">
        <v>498</v>
      </c>
      <c r="F88" s="2">
        <v>8.4</v>
      </c>
      <c r="G88" s="2" t="s">
        <v>717</v>
      </c>
      <c r="H88" s="2" t="s">
        <v>594</v>
      </c>
      <c r="I88" s="2" t="s">
        <v>595</v>
      </c>
      <c r="J88" s="2" t="s">
        <v>718</v>
      </c>
      <c r="K88" s="2" t="s">
        <v>5</v>
      </c>
      <c r="L88" s="2" t="s">
        <v>597</v>
      </c>
      <c r="M88" s="2" t="s">
        <v>42</v>
      </c>
      <c r="N88" s="2" t="s">
        <v>598</v>
      </c>
      <c r="O88" s="2" t="s">
        <v>599</v>
      </c>
    </row>
    <row r="89" spans="1:15" ht="42.75">
      <c r="A89" s="2" t="s">
        <v>720</v>
      </c>
      <c r="B89" s="2" t="s">
        <v>259</v>
      </c>
      <c r="C89" s="2" t="s">
        <v>584</v>
      </c>
      <c r="D89" s="2" t="s">
        <v>264</v>
      </c>
      <c r="E89" s="2" t="s">
        <v>602</v>
      </c>
      <c r="F89" s="2">
        <v>5.7</v>
      </c>
      <c r="G89" s="2" t="s">
        <v>717</v>
      </c>
      <c r="H89" s="2" t="s">
        <v>594</v>
      </c>
      <c r="I89" s="2" t="s">
        <v>595</v>
      </c>
      <c r="J89" s="2" t="s">
        <v>718</v>
      </c>
      <c r="K89" s="2" t="s">
        <v>5</v>
      </c>
      <c r="L89" s="2" t="s">
        <v>597</v>
      </c>
      <c r="M89" s="2" t="s">
        <v>42</v>
      </c>
      <c r="N89" s="2" t="s">
        <v>598</v>
      </c>
      <c r="O89" s="2" t="s">
        <v>599</v>
      </c>
    </row>
    <row r="90" spans="1:15" ht="42.75">
      <c r="A90" s="2" t="s">
        <v>721</v>
      </c>
      <c r="B90" s="2" t="s">
        <v>259</v>
      </c>
      <c r="C90" s="2" t="s">
        <v>584</v>
      </c>
      <c r="D90" s="2" t="s">
        <v>264</v>
      </c>
      <c r="E90" s="2" t="s">
        <v>604</v>
      </c>
      <c r="F90" s="2">
        <v>295.89999999999998</v>
      </c>
      <c r="G90" s="2" t="s">
        <v>717</v>
      </c>
      <c r="H90" s="2" t="s">
        <v>594</v>
      </c>
      <c r="I90" s="2" t="s">
        <v>595</v>
      </c>
      <c r="J90" s="2" t="s">
        <v>718</v>
      </c>
      <c r="K90" s="2" t="s">
        <v>5</v>
      </c>
      <c r="L90" s="2" t="s">
        <v>597</v>
      </c>
      <c r="M90" s="2" t="s">
        <v>42</v>
      </c>
      <c r="N90" s="2" t="s">
        <v>598</v>
      </c>
      <c r="O90" s="2" t="s">
        <v>599</v>
      </c>
    </row>
    <row r="91" spans="1:15" ht="42.75">
      <c r="A91" s="2" t="s">
        <v>722</v>
      </c>
      <c r="B91" s="2" t="s">
        <v>259</v>
      </c>
      <c r="C91" s="2" t="s">
        <v>584</v>
      </c>
      <c r="D91" s="2" t="s">
        <v>264</v>
      </c>
      <c r="E91" s="2" t="s">
        <v>606</v>
      </c>
      <c r="F91" s="2">
        <v>11.1</v>
      </c>
      <c r="G91" s="2" t="s">
        <v>717</v>
      </c>
      <c r="H91" s="2" t="s">
        <v>594</v>
      </c>
      <c r="I91" s="2" t="s">
        <v>595</v>
      </c>
      <c r="J91" s="2" t="s">
        <v>718</v>
      </c>
      <c r="K91" s="2" t="s">
        <v>5</v>
      </c>
      <c r="L91" s="2" t="s">
        <v>597</v>
      </c>
      <c r="M91" s="2" t="s">
        <v>42</v>
      </c>
      <c r="N91" s="2" t="s">
        <v>598</v>
      </c>
      <c r="O91" s="2" t="s">
        <v>599</v>
      </c>
    </row>
    <row r="92" spans="1:15" ht="42.75">
      <c r="A92" s="2" t="s">
        <v>723</v>
      </c>
      <c r="B92" s="2" t="s">
        <v>259</v>
      </c>
      <c r="C92" s="2" t="s">
        <v>584</v>
      </c>
      <c r="D92" s="2" t="s">
        <v>264</v>
      </c>
      <c r="E92" s="2" t="s">
        <v>608</v>
      </c>
      <c r="F92" s="2" t="s">
        <v>542</v>
      </c>
      <c r="G92" s="2" t="s">
        <v>717</v>
      </c>
      <c r="H92" s="2" t="s">
        <v>594</v>
      </c>
      <c r="I92" s="2" t="s">
        <v>595</v>
      </c>
      <c r="J92" s="2" t="s">
        <v>718</v>
      </c>
      <c r="K92" s="2" t="s">
        <v>5</v>
      </c>
      <c r="L92" s="2" t="s">
        <v>597</v>
      </c>
      <c r="M92" s="2" t="s">
        <v>42</v>
      </c>
      <c r="N92" s="2" t="s">
        <v>598</v>
      </c>
      <c r="O92" s="2" t="s">
        <v>599</v>
      </c>
    </row>
    <row r="93" spans="1:15" ht="42.75">
      <c r="A93" s="2" t="s">
        <v>724</v>
      </c>
      <c r="B93" s="2" t="s">
        <v>259</v>
      </c>
      <c r="C93" s="2" t="s">
        <v>584</v>
      </c>
      <c r="D93" s="2" t="s">
        <v>264</v>
      </c>
      <c r="E93" s="2" t="s">
        <v>610</v>
      </c>
      <c r="F93" s="2" t="s">
        <v>555</v>
      </c>
      <c r="G93" s="2" t="s">
        <v>717</v>
      </c>
      <c r="H93" s="2" t="s">
        <v>594</v>
      </c>
      <c r="I93" s="2" t="s">
        <v>595</v>
      </c>
      <c r="J93" s="2" t="s">
        <v>718</v>
      </c>
      <c r="K93" s="2" t="s">
        <v>5</v>
      </c>
      <c r="L93" s="2" t="s">
        <v>597</v>
      </c>
      <c r="M93" s="2" t="s">
        <v>42</v>
      </c>
      <c r="N93" s="2" t="s">
        <v>598</v>
      </c>
      <c r="O93" s="2" t="s">
        <v>599</v>
      </c>
    </row>
    <row r="94" spans="1:15" ht="42.75">
      <c r="A94" s="2" t="s">
        <v>725</v>
      </c>
      <c r="B94" s="2" t="s">
        <v>349</v>
      </c>
      <c r="C94" s="2" t="s">
        <v>584</v>
      </c>
      <c r="D94" s="2" t="s">
        <v>352</v>
      </c>
      <c r="E94" s="2" t="s">
        <v>592</v>
      </c>
      <c r="F94" s="2" t="s">
        <v>588</v>
      </c>
      <c r="G94" s="2" t="s">
        <v>726</v>
      </c>
      <c r="H94" s="2" t="s">
        <v>594</v>
      </c>
      <c r="I94" s="2" t="s">
        <v>727</v>
      </c>
      <c r="J94" s="2" t="s">
        <v>728</v>
      </c>
      <c r="K94" s="2" t="s">
        <v>5</v>
      </c>
      <c r="L94" s="2" t="s">
        <v>588</v>
      </c>
      <c r="M94" s="2" t="s">
        <v>42</v>
      </c>
      <c r="N94" s="2" t="s">
        <v>598</v>
      </c>
      <c r="O94" s="2" t="s">
        <v>599</v>
      </c>
    </row>
    <row r="95" spans="1:15" ht="42.75">
      <c r="A95" s="2" t="s">
        <v>729</v>
      </c>
      <c r="B95" s="2" t="s">
        <v>349</v>
      </c>
      <c r="C95" s="2" t="s">
        <v>584</v>
      </c>
      <c r="D95" s="2" t="s">
        <v>352</v>
      </c>
      <c r="E95" s="2" t="s">
        <v>498</v>
      </c>
      <c r="F95" s="2" t="s">
        <v>597</v>
      </c>
      <c r="G95" s="2" t="s">
        <v>726</v>
      </c>
      <c r="H95" s="2" t="s">
        <v>594</v>
      </c>
      <c r="I95" s="2" t="s">
        <v>727</v>
      </c>
      <c r="J95" s="2" t="s">
        <v>728</v>
      </c>
      <c r="K95" s="2" t="s">
        <v>5</v>
      </c>
      <c r="L95" s="2" t="s">
        <v>588</v>
      </c>
      <c r="M95" s="2" t="s">
        <v>42</v>
      </c>
      <c r="N95" s="2" t="s">
        <v>598</v>
      </c>
      <c r="O95" s="2" t="s">
        <v>599</v>
      </c>
    </row>
    <row r="96" spans="1:15" ht="42.75">
      <c r="A96" s="2" t="s">
        <v>730</v>
      </c>
      <c r="B96" s="2" t="s">
        <v>349</v>
      </c>
      <c r="C96" s="2" t="s">
        <v>584</v>
      </c>
      <c r="D96" s="2" t="s">
        <v>352</v>
      </c>
      <c r="E96" s="2" t="s">
        <v>602</v>
      </c>
      <c r="F96" s="2" t="s">
        <v>635</v>
      </c>
      <c r="G96" s="2" t="s">
        <v>726</v>
      </c>
      <c r="H96" s="2" t="s">
        <v>594</v>
      </c>
      <c r="I96" s="2" t="s">
        <v>727</v>
      </c>
      <c r="J96" s="2" t="s">
        <v>728</v>
      </c>
      <c r="K96" s="2" t="s">
        <v>5</v>
      </c>
      <c r="L96" s="2" t="s">
        <v>588</v>
      </c>
      <c r="M96" s="2" t="s">
        <v>42</v>
      </c>
      <c r="N96" s="2" t="s">
        <v>598</v>
      </c>
      <c r="O96" s="2" t="s">
        <v>599</v>
      </c>
    </row>
    <row r="97" spans="1:15" ht="42.75">
      <c r="A97" s="2" t="s">
        <v>731</v>
      </c>
      <c r="B97" s="2" t="s">
        <v>349</v>
      </c>
      <c r="C97" s="2" t="s">
        <v>584</v>
      </c>
      <c r="D97" s="2" t="s">
        <v>352</v>
      </c>
      <c r="E97" s="2" t="s">
        <v>604</v>
      </c>
      <c r="F97" s="2">
        <v>280</v>
      </c>
      <c r="G97" s="2" t="s">
        <v>726</v>
      </c>
      <c r="H97" s="2" t="s">
        <v>594</v>
      </c>
      <c r="I97" s="2" t="s">
        <v>727</v>
      </c>
      <c r="J97" s="2" t="s">
        <v>728</v>
      </c>
      <c r="K97" s="2" t="s">
        <v>5</v>
      </c>
      <c r="L97" s="2" t="s">
        <v>588</v>
      </c>
      <c r="M97" s="2" t="s">
        <v>42</v>
      </c>
      <c r="N97" s="2" t="s">
        <v>598</v>
      </c>
      <c r="O97" s="2" t="s">
        <v>599</v>
      </c>
    </row>
    <row r="98" spans="1:15" ht="42.75">
      <c r="A98" s="2" t="s">
        <v>732</v>
      </c>
      <c r="B98" s="2" t="s">
        <v>349</v>
      </c>
      <c r="C98" s="2" t="s">
        <v>584</v>
      </c>
      <c r="D98" s="2" t="s">
        <v>352</v>
      </c>
      <c r="E98" s="2" t="s">
        <v>606</v>
      </c>
      <c r="F98" s="2">
        <v>7.6</v>
      </c>
      <c r="G98" s="2" t="s">
        <v>726</v>
      </c>
      <c r="H98" s="2" t="s">
        <v>594</v>
      </c>
      <c r="I98" s="2" t="s">
        <v>727</v>
      </c>
      <c r="J98" s="2" t="s">
        <v>728</v>
      </c>
      <c r="K98" s="2" t="s">
        <v>5</v>
      </c>
      <c r="L98" s="2" t="s">
        <v>588</v>
      </c>
      <c r="M98" s="2" t="s">
        <v>42</v>
      </c>
      <c r="N98" s="2" t="s">
        <v>598</v>
      </c>
      <c r="O98" s="2" t="s">
        <v>599</v>
      </c>
    </row>
    <row r="99" spans="1:15" ht="42.75">
      <c r="A99" s="2" t="s">
        <v>733</v>
      </c>
      <c r="B99" s="2" t="s">
        <v>349</v>
      </c>
      <c r="C99" s="2" t="s">
        <v>584</v>
      </c>
      <c r="D99" s="2" t="s">
        <v>352</v>
      </c>
      <c r="E99" s="2" t="s">
        <v>608</v>
      </c>
      <c r="F99" s="2" t="s">
        <v>496</v>
      </c>
      <c r="G99" s="2" t="s">
        <v>726</v>
      </c>
      <c r="H99" s="2" t="s">
        <v>594</v>
      </c>
      <c r="I99" s="2" t="s">
        <v>727</v>
      </c>
      <c r="J99" s="2" t="s">
        <v>728</v>
      </c>
      <c r="K99" s="2" t="s">
        <v>5</v>
      </c>
      <c r="L99" s="2" t="s">
        <v>588</v>
      </c>
      <c r="M99" s="2" t="s">
        <v>42</v>
      </c>
      <c r="N99" s="2" t="s">
        <v>598</v>
      </c>
      <c r="O99" s="2" t="s">
        <v>599</v>
      </c>
    </row>
    <row r="100" spans="1:15" ht="42.75">
      <c r="A100" s="2" t="s">
        <v>734</v>
      </c>
      <c r="B100" s="2" t="s">
        <v>349</v>
      </c>
      <c r="C100" s="2" t="s">
        <v>584</v>
      </c>
      <c r="D100" s="2" t="s">
        <v>352</v>
      </c>
      <c r="E100" s="2" t="s">
        <v>610</v>
      </c>
      <c r="F100" s="2" t="s">
        <v>555</v>
      </c>
      <c r="G100" s="2" t="s">
        <v>726</v>
      </c>
      <c r="H100" s="2" t="s">
        <v>594</v>
      </c>
      <c r="I100" s="2" t="s">
        <v>727</v>
      </c>
      <c r="J100" s="2" t="s">
        <v>728</v>
      </c>
      <c r="K100" s="2" t="s">
        <v>5</v>
      </c>
      <c r="L100" s="2" t="s">
        <v>588</v>
      </c>
      <c r="M100" s="2" t="s">
        <v>42</v>
      </c>
      <c r="N100" s="2" t="s">
        <v>598</v>
      </c>
      <c r="O100" s="2" t="s">
        <v>599</v>
      </c>
    </row>
    <row r="101" spans="1:15" ht="42.75">
      <c r="A101" s="2" t="s">
        <v>735</v>
      </c>
      <c r="B101" s="2" t="s">
        <v>208</v>
      </c>
      <c r="C101" s="2" t="s">
        <v>584</v>
      </c>
      <c r="D101" s="2" t="s">
        <v>211</v>
      </c>
      <c r="E101" s="2" t="s">
        <v>592</v>
      </c>
      <c r="F101" s="2">
        <v>7.9</v>
      </c>
      <c r="G101" s="2" t="s">
        <v>736</v>
      </c>
      <c r="H101" s="2" t="s">
        <v>594</v>
      </c>
      <c r="I101" s="2" t="s">
        <v>595</v>
      </c>
      <c r="J101" s="2" t="s">
        <v>737</v>
      </c>
      <c r="K101" s="2" t="s">
        <v>5</v>
      </c>
      <c r="L101" s="2" t="s">
        <v>597</v>
      </c>
      <c r="M101" s="2" t="s">
        <v>42</v>
      </c>
      <c r="N101" s="2" t="s">
        <v>598</v>
      </c>
      <c r="O101" s="2" t="s">
        <v>599</v>
      </c>
    </row>
    <row r="102" spans="1:15" ht="42.75">
      <c r="A102" s="2" t="s">
        <v>738</v>
      </c>
      <c r="B102" s="2" t="s">
        <v>208</v>
      </c>
      <c r="C102" s="2" t="s">
        <v>584</v>
      </c>
      <c r="D102" s="2" t="s">
        <v>211</v>
      </c>
      <c r="E102" s="2" t="s">
        <v>498</v>
      </c>
      <c r="F102" s="2">
        <v>8.5</v>
      </c>
      <c r="G102" s="2" t="s">
        <v>736</v>
      </c>
      <c r="H102" s="2" t="s">
        <v>594</v>
      </c>
      <c r="I102" s="2" t="s">
        <v>595</v>
      </c>
      <c r="J102" s="2" t="s">
        <v>737</v>
      </c>
      <c r="K102" s="2" t="s">
        <v>5</v>
      </c>
      <c r="L102" s="2" t="s">
        <v>597</v>
      </c>
      <c r="M102" s="2" t="s">
        <v>42</v>
      </c>
      <c r="N102" s="2" t="s">
        <v>598</v>
      </c>
      <c r="O102" s="2" t="s">
        <v>599</v>
      </c>
    </row>
    <row r="103" spans="1:15" ht="42.75">
      <c r="A103" s="2" t="s">
        <v>739</v>
      </c>
      <c r="B103" s="2" t="s">
        <v>208</v>
      </c>
      <c r="C103" s="2" t="s">
        <v>584</v>
      </c>
      <c r="D103" s="2" t="s">
        <v>211</v>
      </c>
      <c r="E103" s="2" t="s">
        <v>602</v>
      </c>
      <c r="F103" s="2">
        <v>6.9</v>
      </c>
      <c r="G103" s="2" t="s">
        <v>736</v>
      </c>
      <c r="H103" s="2" t="s">
        <v>594</v>
      </c>
      <c r="I103" s="2" t="s">
        <v>595</v>
      </c>
      <c r="J103" s="2" t="s">
        <v>737</v>
      </c>
      <c r="K103" s="2" t="s">
        <v>5</v>
      </c>
      <c r="L103" s="2" t="s">
        <v>597</v>
      </c>
      <c r="M103" s="2" t="s">
        <v>42</v>
      </c>
      <c r="N103" s="2" t="s">
        <v>598</v>
      </c>
      <c r="O103" s="2" t="s">
        <v>599</v>
      </c>
    </row>
    <row r="104" spans="1:15" ht="42.75">
      <c r="A104" s="2" t="s">
        <v>740</v>
      </c>
      <c r="B104" s="2" t="s">
        <v>208</v>
      </c>
      <c r="C104" s="2" t="s">
        <v>584</v>
      </c>
      <c r="D104" s="2" t="s">
        <v>211</v>
      </c>
      <c r="E104" s="2" t="s">
        <v>604</v>
      </c>
      <c r="F104" s="2">
        <v>329.3</v>
      </c>
      <c r="G104" s="2" t="s">
        <v>736</v>
      </c>
      <c r="H104" s="2" t="s">
        <v>594</v>
      </c>
      <c r="I104" s="2" t="s">
        <v>595</v>
      </c>
      <c r="J104" s="2" t="s">
        <v>737</v>
      </c>
      <c r="K104" s="2" t="s">
        <v>5</v>
      </c>
      <c r="L104" s="2" t="s">
        <v>597</v>
      </c>
      <c r="M104" s="2" t="s">
        <v>42</v>
      </c>
      <c r="N104" s="2" t="s">
        <v>598</v>
      </c>
      <c r="O104" s="2" t="s">
        <v>599</v>
      </c>
    </row>
    <row r="105" spans="1:15" ht="42.75">
      <c r="A105" s="2" t="s">
        <v>741</v>
      </c>
      <c r="B105" s="2" t="s">
        <v>208</v>
      </c>
      <c r="C105" s="2" t="s">
        <v>584</v>
      </c>
      <c r="D105" s="2" t="s">
        <v>211</v>
      </c>
      <c r="E105" s="2" t="s">
        <v>606</v>
      </c>
      <c r="F105" s="2">
        <v>6</v>
      </c>
      <c r="G105" s="2" t="s">
        <v>736</v>
      </c>
      <c r="H105" s="2" t="s">
        <v>594</v>
      </c>
      <c r="I105" s="2" t="s">
        <v>595</v>
      </c>
      <c r="J105" s="2" t="s">
        <v>737</v>
      </c>
      <c r="K105" s="2" t="s">
        <v>5</v>
      </c>
      <c r="L105" s="2" t="s">
        <v>597</v>
      </c>
      <c r="M105" s="2" t="s">
        <v>42</v>
      </c>
      <c r="N105" s="2" t="s">
        <v>598</v>
      </c>
      <c r="O105" s="2" t="s">
        <v>599</v>
      </c>
    </row>
    <row r="106" spans="1:15" ht="42.75">
      <c r="A106" s="2" t="s">
        <v>742</v>
      </c>
      <c r="B106" s="2" t="s">
        <v>208</v>
      </c>
      <c r="C106" s="2" t="s">
        <v>584</v>
      </c>
      <c r="D106" s="2" t="s">
        <v>211</v>
      </c>
      <c r="E106" s="2" t="s">
        <v>608</v>
      </c>
      <c r="F106" s="2" t="s">
        <v>496</v>
      </c>
      <c r="G106" s="2" t="s">
        <v>736</v>
      </c>
      <c r="H106" s="2" t="s">
        <v>594</v>
      </c>
      <c r="I106" s="2" t="s">
        <v>595</v>
      </c>
      <c r="J106" s="2" t="s">
        <v>737</v>
      </c>
      <c r="K106" s="2" t="s">
        <v>5</v>
      </c>
      <c r="L106" s="2" t="s">
        <v>597</v>
      </c>
      <c r="M106" s="2" t="s">
        <v>42</v>
      </c>
      <c r="N106" s="2" t="s">
        <v>598</v>
      </c>
      <c r="O106" s="2" t="s">
        <v>599</v>
      </c>
    </row>
    <row r="107" spans="1:15" ht="42.75">
      <c r="A107" s="2" t="s">
        <v>743</v>
      </c>
      <c r="B107" s="2" t="s">
        <v>208</v>
      </c>
      <c r="C107" s="2" t="s">
        <v>584</v>
      </c>
      <c r="D107" s="2" t="s">
        <v>211</v>
      </c>
      <c r="E107" s="2" t="s">
        <v>610</v>
      </c>
      <c r="F107" s="2" t="s">
        <v>555</v>
      </c>
      <c r="G107" s="2" t="s">
        <v>736</v>
      </c>
      <c r="H107" s="2" t="s">
        <v>594</v>
      </c>
      <c r="I107" s="2" t="s">
        <v>595</v>
      </c>
      <c r="J107" s="2" t="s">
        <v>737</v>
      </c>
      <c r="K107" s="2" t="s">
        <v>5</v>
      </c>
      <c r="L107" s="2" t="s">
        <v>597</v>
      </c>
      <c r="M107" s="2" t="s">
        <v>42</v>
      </c>
      <c r="N107" s="2" t="s">
        <v>598</v>
      </c>
      <c r="O107" s="2" t="s">
        <v>599</v>
      </c>
    </row>
    <row r="108" spans="1:15" ht="42.75">
      <c r="A108" s="2" t="s">
        <v>744</v>
      </c>
      <c r="B108" s="2" t="s">
        <v>110</v>
      </c>
      <c r="C108" s="2" t="s">
        <v>584</v>
      </c>
      <c r="D108" s="2" t="s">
        <v>113</v>
      </c>
      <c r="E108" s="2" t="s">
        <v>592</v>
      </c>
      <c r="F108" s="2" t="s">
        <v>588</v>
      </c>
      <c r="G108" s="2" t="s">
        <v>745</v>
      </c>
      <c r="H108" s="2" t="s">
        <v>594</v>
      </c>
      <c r="I108" s="2" t="s">
        <v>727</v>
      </c>
      <c r="J108" s="2" t="s">
        <v>746</v>
      </c>
      <c r="K108" s="2" t="s">
        <v>5</v>
      </c>
      <c r="L108" s="2" t="s">
        <v>588</v>
      </c>
      <c r="M108" s="2" t="s">
        <v>42</v>
      </c>
      <c r="N108" s="2" t="s">
        <v>598</v>
      </c>
      <c r="O108" s="2" t="s">
        <v>599</v>
      </c>
    </row>
    <row r="109" spans="1:15" ht="42.75">
      <c r="A109" s="2" t="s">
        <v>747</v>
      </c>
      <c r="B109" s="2" t="s">
        <v>110</v>
      </c>
      <c r="C109" s="2" t="s">
        <v>584</v>
      </c>
      <c r="D109" s="2" t="s">
        <v>113</v>
      </c>
      <c r="E109" s="2" t="s">
        <v>498</v>
      </c>
      <c r="F109" s="2" t="s">
        <v>748</v>
      </c>
      <c r="G109" s="2" t="s">
        <v>745</v>
      </c>
      <c r="H109" s="2" t="s">
        <v>594</v>
      </c>
      <c r="I109" s="2" t="s">
        <v>727</v>
      </c>
      <c r="J109" s="2" t="s">
        <v>746</v>
      </c>
      <c r="K109" s="2" t="s">
        <v>5</v>
      </c>
      <c r="L109" s="2" t="s">
        <v>588</v>
      </c>
      <c r="M109" s="2" t="s">
        <v>42</v>
      </c>
      <c r="N109" s="2" t="s">
        <v>598</v>
      </c>
      <c r="O109" s="2" t="s">
        <v>599</v>
      </c>
    </row>
    <row r="110" spans="1:15" ht="42.75">
      <c r="A110" s="2" t="s">
        <v>749</v>
      </c>
      <c r="B110" s="2" t="s">
        <v>110</v>
      </c>
      <c r="C110" s="2" t="s">
        <v>584</v>
      </c>
      <c r="D110" s="2" t="s">
        <v>113</v>
      </c>
      <c r="E110" s="2" t="s">
        <v>602</v>
      </c>
      <c r="F110" s="2" t="s">
        <v>588</v>
      </c>
      <c r="G110" s="2" t="s">
        <v>745</v>
      </c>
      <c r="H110" s="2" t="s">
        <v>594</v>
      </c>
      <c r="I110" s="2" t="s">
        <v>727</v>
      </c>
      <c r="J110" s="2" t="s">
        <v>746</v>
      </c>
      <c r="K110" s="2" t="s">
        <v>5</v>
      </c>
      <c r="L110" s="2" t="s">
        <v>588</v>
      </c>
      <c r="M110" s="2" t="s">
        <v>42</v>
      </c>
      <c r="N110" s="2" t="s">
        <v>598</v>
      </c>
      <c r="O110" s="2" t="s">
        <v>599</v>
      </c>
    </row>
    <row r="111" spans="1:15" ht="42.75">
      <c r="A111" s="2" t="s">
        <v>750</v>
      </c>
      <c r="B111" s="2" t="s">
        <v>110</v>
      </c>
      <c r="C111" s="2" t="s">
        <v>584</v>
      </c>
      <c r="D111" s="2" t="s">
        <v>113</v>
      </c>
      <c r="E111" s="2" t="s">
        <v>604</v>
      </c>
      <c r="F111" s="2">
        <v>296</v>
      </c>
      <c r="G111" s="2" t="s">
        <v>745</v>
      </c>
      <c r="H111" s="2" t="s">
        <v>594</v>
      </c>
      <c r="I111" s="2" t="s">
        <v>727</v>
      </c>
      <c r="J111" s="2" t="s">
        <v>746</v>
      </c>
      <c r="K111" s="2" t="s">
        <v>5</v>
      </c>
      <c r="L111" s="2" t="s">
        <v>588</v>
      </c>
      <c r="M111" s="2" t="s">
        <v>42</v>
      </c>
      <c r="N111" s="2" t="s">
        <v>598</v>
      </c>
      <c r="O111" s="2" t="s">
        <v>599</v>
      </c>
    </row>
    <row r="112" spans="1:15" ht="42.75">
      <c r="A112" s="2" t="s">
        <v>751</v>
      </c>
      <c r="B112" s="2" t="s">
        <v>110</v>
      </c>
      <c r="C112" s="2" t="s">
        <v>584</v>
      </c>
      <c r="D112" s="2" t="s">
        <v>113</v>
      </c>
      <c r="E112" s="2" t="s">
        <v>606</v>
      </c>
      <c r="F112" s="2">
        <v>10.1</v>
      </c>
      <c r="G112" s="2" t="s">
        <v>745</v>
      </c>
      <c r="H112" s="2" t="s">
        <v>594</v>
      </c>
      <c r="I112" s="2" t="s">
        <v>727</v>
      </c>
      <c r="J112" s="2" t="s">
        <v>746</v>
      </c>
      <c r="K112" s="2" t="s">
        <v>5</v>
      </c>
      <c r="L112" s="2" t="s">
        <v>588</v>
      </c>
      <c r="M112" s="2" t="s">
        <v>42</v>
      </c>
      <c r="N112" s="2" t="s">
        <v>598</v>
      </c>
      <c r="O112" s="2" t="s">
        <v>599</v>
      </c>
    </row>
    <row r="113" spans="1:15" ht="42.75">
      <c r="A113" s="2" t="s">
        <v>752</v>
      </c>
      <c r="B113" s="2" t="s">
        <v>110</v>
      </c>
      <c r="C113" s="2" t="s">
        <v>584</v>
      </c>
      <c r="D113" s="2" t="s">
        <v>113</v>
      </c>
      <c r="E113" s="2" t="s">
        <v>608</v>
      </c>
      <c r="F113" s="2" t="s">
        <v>542</v>
      </c>
      <c r="G113" s="2" t="s">
        <v>745</v>
      </c>
      <c r="H113" s="2" t="s">
        <v>594</v>
      </c>
      <c r="I113" s="2" t="s">
        <v>727</v>
      </c>
      <c r="J113" s="2" t="s">
        <v>746</v>
      </c>
      <c r="K113" s="2" t="s">
        <v>5</v>
      </c>
      <c r="L113" s="2" t="s">
        <v>588</v>
      </c>
      <c r="M113" s="2" t="s">
        <v>42</v>
      </c>
      <c r="N113" s="2" t="s">
        <v>598</v>
      </c>
      <c r="O113" s="2" t="s">
        <v>599</v>
      </c>
    </row>
    <row r="114" spans="1:15" ht="42.75">
      <c r="A114" s="2" t="s">
        <v>753</v>
      </c>
      <c r="B114" s="2" t="s">
        <v>110</v>
      </c>
      <c r="C114" s="2" t="s">
        <v>584</v>
      </c>
      <c r="D114" s="2" t="s">
        <v>113</v>
      </c>
      <c r="E114" s="2" t="s">
        <v>610</v>
      </c>
      <c r="F114" s="2" t="s">
        <v>555</v>
      </c>
      <c r="G114" s="2" t="s">
        <v>745</v>
      </c>
      <c r="H114" s="2" t="s">
        <v>594</v>
      </c>
      <c r="I114" s="2" t="s">
        <v>727</v>
      </c>
      <c r="J114" s="2" t="s">
        <v>746</v>
      </c>
      <c r="K114" s="2" t="s">
        <v>5</v>
      </c>
      <c r="L114" s="2" t="s">
        <v>588</v>
      </c>
      <c r="M114" s="2" t="s">
        <v>42</v>
      </c>
      <c r="N114" s="2" t="s">
        <v>598</v>
      </c>
      <c r="O114" s="2" t="s">
        <v>599</v>
      </c>
    </row>
    <row r="115" spans="1:15" ht="42.75">
      <c r="A115" s="2" t="s">
        <v>754</v>
      </c>
      <c r="B115" s="2" t="s">
        <v>324</v>
      </c>
      <c r="C115" s="2" t="s">
        <v>584</v>
      </c>
      <c r="D115" s="2" t="s">
        <v>326</v>
      </c>
      <c r="E115" s="2" t="s">
        <v>592</v>
      </c>
      <c r="F115" s="2">
        <v>7.2</v>
      </c>
      <c r="G115" s="2" t="s">
        <v>755</v>
      </c>
      <c r="H115" s="2" t="s">
        <v>594</v>
      </c>
      <c r="I115" s="2" t="s">
        <v>595</v>
      </c>
      <c r="J115" s="2" t="s">
        <v>756</v>
      </c>
      <c r="K115" s="2" t="s">
        <v>5</v>
      </c>
      <c r="L115" s="2" t="s">
        <v>597</v>
      </c>
      <c r="M115" s="2" t="s">
        <v>42</v>
      </c>
      <c r="N115" s="2" t="s">
        <v>598</v>
      </c>
      <c r="O115" s="2" t="s">
        <v>599</v>
      </c>
    </row>
    <row r="116" spans="1:15" ht="42.75">
      <c r="A116" s="2" t="s">
        <v>757</v>
      </c>
      <c r="B116" s="2" t="s">
        <v>324</v>
      </c>
      <c r="C116" s="2" t="s">
        <v>584</v>
      </c>
      <c r="D116" s="2" t="s">
        <v>326</v>
      </c>
      <c r="E116" s="2" t="s">
        <v>498</v>
      </c>
      <c r="F116" s="2">
        <v>8.9</v>
      </c>
      <c r="G116" s="2" t="s">
        <v>755</v>
      </c>
      <c r="H116" s="2" t="s">
        <v>594</v>
      </c>
      <c r="I116" s="2" t="s">
        <v>595</v>
      </c>
      <c r="J116" s="2" t="s">
        <v>756</v>
      </c>
      <c r="K116" s="2" t="s">
        <v>5</v>
      </c>
      <c r="L116" s="2" t="s">
        <v>597</v>
      </c>
      <c r="M116" s="2" t="s">
        <v>42</v>
      </c>
      <c r="N116" s="2" t="s">
        <v>598</v>
      </c>
      <c r="O116" s="2" t="s">
        <v>599</v>
      </c>
    </row>
    <row r="117" spans="1:15" ht="42.75">
      <c r="A117" s="2" t="s">
        <v>758</v>
      </c>
      <c r="B117" s="2" t="s">
        <v>324</v>
      </c>
      <c r="C117" s="2" t="s">
        <v>584</v>
      </c>
      <c r="D117" s="2" t="s">
        <v>326</v>
      </c>
      <c r="E117" s="2" t="s">
        <v>602</v>
      </c>
      <c r="F117" s="2">
        <v>5.9</v>
      </c>
      <c r="G117" s="2" t="s">
        <v>755</v>
      </c>
      <c r="H117" s="2" t="s">
        <v>594</v>
      </c>
      <c r="I117" s="2" t="s">
        <v>595</v>
      </c>
      <c r="J117" s="2" t="s">
        <v>756</v>
      </c>
      <c r="K117" s="2" t="s">
        <v>5</v>
      </c>
      <c r="L117" s="2" t="s">
        <v>597</v>
      </c>
      <c r="M117" s="2" t="s">
        <v>42</v>
      </c>
      <c r="N117" s="2" t="s">
        <v>598</v>
      </c>
      <c r="O117" s="2" t="s">
        <v>599</v>
      </c>
    </row>
    <row r="118" spans="1:15" ht="42.75">
      <c r="A118" s="2" t="s">
        <v>759</v>
      </c>
      <c r="B118" s="2" t="s">
        <v>324</v>
      </c>
      <c r="C118" s="2" t="s">
        <v>584</v>
      </c>
      <c r="D118" s="2" t="s">
        <v>326</v>
      </c>
      <c r="E118" s="2" t="s">
        <v>604</v>
      </c>
      <c r="F118" s="2">
        <v>294.5</v>
      </c>
      <c r="G118" s="2" t="s">
        <v>755</v>
      </c>
      <c r="H118" s="2" t="s">
        <v>594</v>
      </c>
      <c r="I118" s="2" t="s">
        <v>595</v>
      </c>
      <c r="J118" s="2" t="s">
        <v>756</v>
      </c>
      <c r="K118" s="2" t="s">
        <v>5</v>
      </c>
      <c r="L118" s="2" t="s">
        <v>597</v>
      </c>
      <c r="M118" s="2" t="s">
        <v>42</v>
      </c>
      <c r="N118" s="2" t="s">
        <v>598</v>
      </c>
      <c r="O118" s="2" t="s">
        <v>599</v>
      </c>
    </row>
    <row r="119" spans="1:15" ht="42.75">
      <c r="A119" s="2" t="s">
        <v>760</v>
      </c>
      <c r="B119" s="2" t="s">
        <v>324</v>
      </c>
      <c r="C119" s="2" t="s">
        <v>584</v>
      </c>
      <c r="D119" s="2" t="s">
        <v>326</v>
      </c>
      <c r="E119" s="2" t="s">
        <v>606</v>
      </c>
      <c r="F119" s="2">
        <v>6.7</v>
      </c>
      <c r="G119" s="2" t="s">
        <v>755</v>
      </c>
      <c r="H119" s="2" t="s">
        <v>594</v>
      </c>
      <c r="I119" s="2" t="s">
        <v>595</v>
      </c>
      <c r="J119" s="2" t="s">
        <v>756</v>
      </c>
      <c r="K119" s="2" t="s">
        <v>5</v>
      </c>
      <c r="L119" s="2" t="s">
        <v>597</v>
      </c>
      <c r="M119" s="2" t="s">
        <v>42</v>
      </c>
      <c r="N119" s="2" t="s">
        <v>598</v>
      </c>
      <c r="O119" s="2" t="s">
        <v>599</v>
      </c>
    </row>
    <row r="120" spans="1:15" ht="42.75">
      <c r="A120" s="2" t="s">
        <v>761</v>
      </c>
      <c r="B120" s="2" t="s">
        <v>324</v>
      </c>
      <c r="C120" s="2" t="s">
        <v>584</v>
      </c>
      <c r="D120" s="2" t="s">
        <v>326</v>
      </c>
      <c r="E120" s="2" t="s">
        <v>608</v>
      </c>
      <c r="F120" s="2" t="s">
        <v>542</v>
      </c>
      <c r="G120" s="2" t="s">
        <v>755</v>
      </c>
      <c r="H120" s="2" t="s">
        <v>594</v>
      </c>
      <c r="I120" s="2" t="s">
        <v>595</v>
      </c>
      <c r="J120" s="2" t="s">
        <v>756</v>
      </c>
      <c r="K120" s="2" t="s">
        <v>5</v>
      </c>
      <c r="L120" s="2" t="s">
        <v>597</v>
      </c>
      <c r="M120" s="2" t="s">
        <v>42</v>
      </c>
      <c r="N120" s="2" t="s">
        <v>598</v>
      </c>
      <c r="O120" s="2" t="s">
        <v>599</v>
      </c>
    </row>
    <row r="121" spans="1:15" ht="42.75">
      <c r="A121" s="2" t="s">
        <v>762</v>
      </c>
      <c r="B121" s="2" t="s">
        <v>324</v>
      </c>
      <c r="C121" s="2" t="s">
        <v>584</v>
      </c>
      <c r="D121" s="2" t="s">
        <v>326</v>
      </c>
      <c r="E121" s="2" t="s">
        <v>610</v>
      </c>
      <c r="F121" s="2" t="s">
        <v>555</v>
      </c>
      <c r="G121" s="2" t="s">
        <v>755</v>
      </c>
      <c r="H121" s="2" t="s">
        <v>594</v>
      </c>
      <c r="I121" s="2" t="s">
        <v>595</v>
      </c>
      <c r="J121" s="2" t="s">
        <v>756</v>
      </c>
      <c r="K121" s="2" t="s">
        <v>5</v>
      </c>
      <c r="L121" s="2" t="s">
        <v>597</v>
      </c>
      <c r="M121" s="2" t="s">
        <v>42</v>
      </c>
      <c r="N121" s="2" t="s">
        <v>598</v>
      </c>
      <c r="O121" s="2" t="s">
        <v>599</v>
      </c>
    </row>
    <row r="122" spans="1:15" ht="42.75">
      <c r="A122" s="2" t="s">
        <v>763</v>
      </c>
      <c r="B122" s="2" t="s">
        <v>302</v>
      </c>
      <c r="C122" s="2" t="s">
        <v>584</v>
      </c>
      <c r="D122" s="2" t="s">
        <v>304</v>
      </c>
      <c r="E122" s="2" t="s">
        <v>592</v>
      </c>
      <c r="F122" s="2">
        <v>7.7</v>
      </c>
      <c r="G122" s="2" t="s">
        <v>764</v>
      </c>
      <c r="H122" s="2" t="s">
        <v>594</v>
      </c>
      <c r="I122" s="2" t="s">
        <v>595</v>
      </c>
      <c r="J122" s="2" t="s">
        <v>765</v>
      </c>
      <c r="K122" s="2" t="s">
        <v>5</v>
      </c>
      <c r="L122" s="2" t="s">
        <v>597</v>
      </c>
      <c r="M122" s="2" t="s">
        <v>42</v>
      </c>
      <c r="N122" s="2" t="s">
        <v>598</v>
      </c>
      <c r="O122" s="2" t="s">
        <v>599</v>
      </c>
    </row>
    <row r="123" spans="1:15" ht="42.75">
      <c r="A123" s="2" t="s">
        <v>766</v>
      </c>
      <c r="B123" s="2" t="s">
        <v>302</v>
      </c>
      <c r="C123" s="2" t="s">
        <v>584</v>
      </c>
      <c r="D123" s="2" t="s">
        <v>304</v>
      </c>
      <c r="E123" s="2" t="s">
        <v>498</v>
      </c>
      <c r="F123" s="2">
        <v>6.3</v>
      </c>
      <c r="G123" s="2" t="s">
        <v>764</v>
      </c>
      <c r="H123" s="2" t="s">
        <v>594</v>
      </c>
      <c r="I123" s="2" t="s">
        <v>595</v>
      </c>
      <c r="J123" s="2" t="s">
        <v>765</v>
      </c>
      <c r="K123" s="2" t="s">
        <v>5</v>
      </c>
      <c r="L123" s="2" t="s">
        <v>597</v>
      </c>
      <c r="M123" s="2" t="s">
        <v>42</v>
      </c>
      <c r="N123" s="2" t="s">
        <v>598</v>
      </c>
      <c r="O123" s="2" t="s">
        <v>599</v>
      </c>
    </row>
    <row r="124" spans="1:15" ht="42.75">
      <c r="A124" s="2" t="s">
        <v>767</v>
      </c>
      <c r="B124" s="2" t="s">
        <v>302</v>
      </c>
      <c r="C124" s="2" t="s">
        <v>584</v>
      </c>
      <c r="D124" s="2" t="s">
        <v>304</v>
      </c>
      <c r="E124" s="2" t="s">
        <v>602</v>
      </c>
      <c r="F124" s="2">
        <v>7.6</v>
      </c>
      <c r="G124" s="2" t="s">
        <v>764</v>
      </c>
      <c r="H124" s="2" t="s">
        <v>594</v>
      </c>
      <c r="I124" s="2" t="s">
        <v>595</v>
      </c>
      <c r="J124" s="2" t="s">
        <v>765</v>
      </c>
      <c r="K124" s="2" t="s">
        <v>5</v>
      </c>
      <c r="L124" s="2" t="s">
        <v>597</v>
      </c>
      <c r="M124" s="2" t="s">
        <v>42</v>
      </c>
      <c r="N124" s="2" t="s">
        <v>598</v>
      </c>
      <c r="O124" s="2" t="s">
        <v>599</v>
      </c>
    </row>
    <row r="125" spans="1:15" ht="42.75">
      <c r="A125" s="2" t="s">
        <v>768</v>
      </c>
      <c r="B125" s="2" t="s">
        <v>302</v>
      </c>
      <c r="C125" s="2" t="s">
        <v>584</v>
      </c>
      <c r="D125" s="2" t="s">
        <v>304</v>
      </c>
      <c r="E125" s="2" t="s">
        <v>604</v>
      </c>
      <c r="F125" s="2">
        <v>199.5</v>
      </c>
      <c r="G125" s="2" t="s">
        <v>764</v>
      </c>
      <c r="H125" s="2" t="s">
        <v>594</v>
      </c>
      <c r="I125" s="2" t="s">
        <v>595</v>
      </c>
      <c r="J125" s="2" t="s">
        <v>765</v>
      </c>
      <c r="K125" s="2" t="s">
        <v>5</v>
      </c>
      <c r="L125" s="2" t="s">
        <v>597</v>
      </c>
      <c r="M125" s="2" t="s">
        <v>42</v>
      </c>
      <c r="N125" s="2" t="s">
        <v>598</v>
      </c>
      <c r="O125" s="2" t="s">
        <v>599</v>
      </c>
    </row>
    <row r="126" spans="1:15" ht="42.75">
      <c r="A126" s="2" t="s">
        <v>769</v>
      </c>
      <c r="B126" s="2" t="s">
        <v>302</v>
      </c>
      <c r="C126" s="2" t="s">
        <v>584</v>
      </c>
      <c r="D126" s="2" t="s">
        <v>304</v>
      </c>
      <c r="E126" s="2" t="s">
        <v>606</v>
      </c>
      <c r="F126" s="2">
        <v>6.9</v>
      </c>
      <c r="G126" s="2" t="s">
        <v>764</v>
      </c>
      <c r="H126" s="2" t="s">
        <v>594</v>
      </c>
      <c r="I126" s="2" t="s">
        <v>595</v>
      </c>
      <c r="J126" s="2" t="s">
        <v>765</v>
      </c>
      <c r="K126" s="2" t="s">
        <v>5</v>
      </c>
      <c r="L126" s="2" t="s">
        <v>597</v>
      </c>
      <c r="M126" s="2" t="s">
        <v>42</v>
      </c>
      <c r="N126" s="2" t="s">
        <v>598</v>
      </c>
      <c r="O126" s="2" t="s">
        <v>599</v>
      </c>
    </row>
    <row r="127" spans="1:15" ht="42.75">
      <c r="A127" s="2" t="s">
        <v>770</v>
      </c>
      <c r="B127" s="2" t="s">
        <v>302</v>
      </c>
      <c r="C127" s="2" t="s">
        <v>584</v>
      </c>
      <c r="D127" s="2" t="s">
        <v>304</v>
      </c>
      <c r="E127" s="2" t="s">
        <v>608</v>
      </c>
      <c r="F127" s="2" t="s">
        <v>503</v>
      </c>
      <c r="G127" s="2" t="s">
        <v>764</v>
      </c>
      <c r="H127" s="2" t="s">
        <v>594</v>
      </c>
      <c r="I127" s="2" t="s">
        <v>595</v>
      </c>
      <c r="J127" s="2" t="s">
        <v>765</v>
      </c>
      <c r="K127" s="2" t="s">
        <v>5</v>
      </c>
      <c r="L127" s="2" t="s">
        <v>597</v>
      </c>
      <c r="M127" s="2" t="s">
        <v>42</v>
      </c>
      <c r="N127" s="2" t="s">
        <v>598</v>
      </c>
      <c r="O127" s="2" t="s">
        <v>599</v>
      </c>
    </row>
    <row r="128" spans="1:15" ht="42.75">
      <c r="A128" s="2" t="s">
        <v>771</v>
      </c>
      <c r="B128" s="2" t="s">
        <v>302</v>
      </c>
      <c r="C128" s="2" t="s">
        <v>584</v>
      </c>
      <c r="D128" s="2" t="s">
        <v>304</v>
      </c>
      <c r="E128" s="2" t="s">
        <v>610</v>
      </c>
      <c r="F128" s="2" t="s">
        <v>621</v>
      </c>
      <c r="G128" s="2" t="s">
        <v>764</v>
      </c>
      <c r="H128" s="2" t="s">
        <v>594</v>
      </c>
      <c r="I128" s="2" t="s">
        <v>595</v>
      </c>
      <c r="J128" s="2" t="s">
        <v>765</v>
      </c>
      <c r="K128" s="2" t="s">
        <v>5</v>
      </c>
      <c r="L128" s="2" t="s">
        <v>597</v>
      </c>
      <c r="M128" s="2" t="s">
        <v>42</v>
      </c>
      <c r="N128" s="2" t="s">
        <v>598</v>
      </c>
      <c r="O128" s="2" t="s">
        <v>599</v>
      </c>
    </row>
    <row r="129" spans="1:15" ht="42.75">
      <c r="A129" s="2" t="s">
        <v>772</v>
      </c>
      <c r="B129" s="2" t="s">
        <v>290</v>
      </c>
      <c r="C129" s="2" t="s">
        <v>584</v>
      </c>
      <c r="D129" s="2" t="s">
        <v>291</v>
      </c>
      <c r="E129" s="2" t="s">
        <v>592</v>
      </c>
      <c r="F129" s="2">
        <v>9.4</v>
      </c>
      <c r="G129" s="2" t="s">
        <v>773</v>
      </c>
      <c r="H129" s="2" t="s">
        <v>594</v>
      </c>
      <c r="I129" s="2" t="s">
        <v>707</v>
      </c>
      <c r="J129" s="2" t="s">
        <v>774</v>
      </c>
      <c r="K129" s="2" t="s">
        <v>5</v>
      </c>
      <c r="L129" s="2" t="s">
        <v>588</v>
      </c>
      <c r="M129" s="2" t="s">
        <v>42</v>
      </c>
      <c r="N129" s="2" t="s">
        <v>598</v>
      </c>
      <c r="O129" s="2" t="s">
        <v>599</v>
      </c>
    </row>
    <row r="130" spans="1:15" ht="42.75">
      <c r="A130" s="2" t="s">
        <v>775</v>
      </c>
      <c r="B130" s="2" t="s">
        <v>290</v>
      </c>
      <c r="C130" s="2" t="s">
        <v>584</v>
      </c>
      <c r="D130" s="2" t="s">
        <v>291</v>
      </c>
      <c r="E130" s="2" t="s">
        <v>498</v>
      </c>
      <c r="F130" s="2">
        <v>6.4</v>
      </c>
      <c r="G130" s="2" t="s">
        <v>773</v>
      </c>
      <c r="H130" s="2" t="s">
        <v>594</v>
      </c>
      <c r="I130" s="2" t="s">
        <v>707</v>
      </c>
      <c r="J130" s="2" t="s">
        <v>774</v>
      </c>
      <c r="K130" s="2" t="s">
        <v>5</v>
      </c>
      <c r="L130" s="2" t="s">
        <v>588</v>
      </c>
      <c r="M130" s="2" t="s">
        <v>42</v>
      </c>
      <c r="N130" s="2" t="s">
        <v>598</v>
      </c>
      <c r="O130" s="2" t="s">
        <v>599</v>
      </c>
    </row>
    <row r="131" spans="1:15" ht="42.75">
      <c r="A131" s="2" t="s">
        <v>776</v>
      </c>
      <c r="B131" s="2" t="s">
        <v>290</v>
      </c>
      <c r="C131" s="2" t="s">
        <v>584</v>
      </c>
      <c r="D131" s="2" t="s">
        <v>291</v>
      </c>
      <c r="E131" s="2" t="s">
        <v>602</v>
      </c>
      <c r="F131" s="2" t="s">
        <v>777</v>
      </c>
      <c r="G131" s="2" t="s">
        <v>773</v>
      </c>
      <c r="H131" s="2" t="s">
        <v>594</v>
      </c>
      <c r="I131" s="2" t="s">
        <v>707</v>
      </c>
      <c r="J131" s="2" t="s">
        <v>774</v>
      </c>
      <c r="K131" s="2" t="s">
        <v>5</v>
      </c>
      <c r="L131" s="2" t="s">
        <v>588</v>
      </c>
      <c r="M131" s="2" t="s">
        <v>42</v>
      </c>
      <c r="N131" s="2" t="s">
        <v>598</v>
      </c>
      <c r="O131" s="2" t="s">
        <v>599</v>
      </c>
    </row>
    <row r="132" spans="1:15" ht="42.75">
      <c r="A132" s="2" t="s">
        <v>778</v>
      </c>
      <c r="B132" s="2" t="s">
        <v>290</v>
      </c>
      <c r="C132" s="2" t="s">
        <v>584</v>
      </c>
      <c r="D132" s="2" t="s">
        <v>291</v>
      </c>
      <c r="E132" s="2" t="s">
        <v>604</v>
      </c>
      <c r="F132" s="2">
        <v>232.6</v>
      </c>
      <c r="G132" s="2" t="s">
        <v>773</v>
      </c>
      <c r="H132" s="2" t="s">
        <v>594</v>
      </c>
      <c r="I132" s="2" t="s">
        <v>707</v>
      </c>
      <c r="J132" s="2" t="s">
        <v>774</v>
      </c>
      <c r="K132" s="2" t="s">
        <v>5</v>
      </c>
      <c r="L132" s="2" t="s">
        <v>588</v>
      </c>
      <c r="M132" s="2" t="s">
        <v>42</v>
      </c>
      <c r="N132" s="2" t="s">
        <v>598</v>
      </c>
      <c r="O132" s="2" t="s">
        <v>599</v>
      </c>
    </row>
    <row r="133" spans="1:15" ht="42.75">
      <c r="A133" s="2" t="s">
        <v>779</v>
      </c>
      <c r="B133" s="2" t="s">
        <v>290</v>
      </c>
      <c r="C133" s="2" t="s">
        <v>584</v>
      </c>
      <c r="D133" s="2" t="s">
        <v>291</v>
      </c>
      <c r="E133" s="2" t="s">
        <v>606</v>
      </c>
      <c r="F133" s="2">
        <v>7.1</v>
      </c>
      <c r="G133" s="2" t="s">
        <v>773</v>
      </c>
      <c r="H133" s="2" t="s">
        <v>594</v>
      </c>
      <c r="I133" s="2" t="s">
        <v>707</v>
      </c>
      <c r="J133" s="2" t="s">
        <v>774</v>
      </c>
      <c r="K133" s="2" t="s">
        <v>5</v>
      </c>
      <c r="L133" s="2" t="s">
        <v>588</v>
      </c>
      <c r="M133" s="2" t="s">
        <v>42</v>
      </c>
      <c r="N133" s="2" t="s">
        <v>598</v>
      </c>
      <c r="O133" s="2" t="s">
        <v>599</v>
      </c>
    </row>
    <row r="134" spans="1:15" ht="42.75">
      <c r="A134" s="2" t="s">
        <v>780</v>
      </c>
      <c r="B134" s="2" t="s">
        <v>290</v>
      </c>
      <c r="C134" s="2" t="s">
        <v>584</v>
      </c>
      <c r="D134" s="2" t="s">
        <v>291</v>
      </c>
      <c r="E134" s="2" t="s">
        <v>608</v>
      </c>
      <c r="F134" s="2" t="s">
        <v>542</v>
      </c>
      <c r="G134" s="2" t="s">
        <v>773</v>
      </c>
      <c r="H134" s="2" t="s">
        <v>594</v>
      </c>
      <c r="I134" s="2" t="s">
        <v>707</v>
      </c>
      <c r="J134" s="2" t="s">
        <v>774</v>
      </c>
      <c r="K134" s="2" t="s">
        <v>5</v>
      </c>
      <c r="L134" s="2" t="s">
        <v>588</v>
      </c>
      <c r="M134" s="2" t="s">
        <v>42</v>
      </c>
      <c r="N134" s="2" t="s">
        <v>598</v>
      </c>
      <c r="O134" s="2" t="s">
        <v>599</v>
      </c>
    </row>
    <row r="135" spans="1:15" ht="42.75">
      <c r="A135" s="2" t="s">
        <v>781</v>
      </c>
      <c r="B135" s="2" t="s">
        <v>290</v>
      </c>
      <c r="C135" s="2" t="s">
        <v>584</v>
      </c>
      <c r="D135" s="2" t="s">
        <v>291</v>
      </c>
      <c r="E135" s="2" t="s">
        <v>610</v>
      </c>
      <c r="F135" s="2" t="s">
        <v>621</v>
      </c>
      <c r="G135" s="2" t="s">
        <v>773</v>
      </c>
      <c r="H135" s="2" t="s">
        <v>594</v>
      </c>
      <c r="I135" s="2" t="s">
        <v>707</v>
      </c>
      <c r="J135" s="2" t="s">
        <v>774</v>
      </c>
      <c r="K135" s="2" t="s">
        <v>5</v>
      </c>
      <c r="L135" s="2" t="s">
        <v>588</v>
      </c>
      <c r="M135" s="2" t="s">
        <v>42</v>
      </c>
      <c r="N135" s="2" t="s">
        <v>598</v>
      </c>
      <c r="O135" s="2" t="s">
        <v>599</v>
      </c>
    </row>
    <row r="136" spans="1:15" ht="42.75">
      <c r="A136" s="2" t="s">
        <v>782</v>
      </c>
      <c r="B136" s="2" t="s">
        <v>76</v>
      </c>
      <c r="C136" s="2" t="s">
        <v>584</v>
      </c>
      <c r="D136" s="2" t="s">
        <v>81</v>
      </c>
      <c r="E136" s="2" t="s">
        <v>592</v>
      </c>
      <c r="F136" s="2">
        <v>6</v>
      </c>
      <c r="G136" s="2" t="s">
        <v>783</v>
      </c>
      <c r="H136" s="2" t="s">
        <v>594</v>
      </c>
      <c r="I136" s="2" t="s">
        <v>595</v>
      </c>
      <c r="J136" s="2" t="s">
        <v>784</v>
      </c>
      <c r="K136" s="2" t="s">
        <v>5</v>
      </c>
      <c r="L136" s="2" t="s">
        <v>597</v>
      </c>
      <c r="M136" s="2" t="s">
        <v>42</v>
      </c>
      <c r="N136" s="2" t="s">
        <v>598</v>
      </c>
      <c r="O136" s="2" t="s">
        <v>599</v>
      </c>
    </row>
    <row r="137" spans="1:15" ht="42.75">
      <c r="A137" s="2" t="s">
        <v>785</v>
      </c>
      <c r="B137" s="2" t="s">
        <v>76</v>
      </c>
      <c r="C137" s="2" t="s">
        <v>584</v>
      </c>
      <c r="D137" s="2" t="s">
        <v>81</v>
      </c>
      <c r="E137" s="2" t="s">
        <v>498</v>
      </c>
      <c r="F137" s="2">
        <v>7.9</v>
      </c>
      <c r="G137" s="2" t="s">
        <v>783</v>
      </c>
      <c r="H137" s="2" t="s">
        <v>594</v>
      </c>
      <c r="I137" s="2" t="s">
        <v>595</v>
      </c>
      <c r="J137" s="2" t="s">
        <v>784</v>
      </c>
      <c r="K137" s="2" t="s">
        <v>5</v>
      </c>
      <c r="L137" s="2" t="s">
        <v>597</v>
      </c>
      <c r="M137" s="2" t="s">
        <v>42</v>
      </c>
      <c r="N137" s="2" t="s">
        <v>598</v>
      </c>
      <c r="O137" s="2" t="s">
        <v>599</v>
      </c>
    </row>
    <row r="138" spans="1:15" ht="42.75">
      <c r="A138" s="2" t="s">
        <v>786</v>
      </c>
      <c r="B138" s="2" t="s">
        <v>76</v>
      </c>
      <c r="C138" s="2" t="s">
        <v>584</v>
      </c>
      <c r="D138" s="2" t="s">
        <v>81</v>
      </c>
      <c r="E138" s="2" t="s">
        <v>602</v>
      </c>
      <c r="F138" s="2">
        <v>5.4</v>
      </c>
      <c r="G138" s="2" t="s">
        <v>783</v>
      </c>
      <c r="H138" s="2" t="s">
        <v>594</v>
      </c>
      <c r="I138" s="2" t="s">
        <v>595</v>
      </c>
      <c r="J138" s="2" t="s">
        <v>784</v>
      </c>
      <c r="K138" s="2" t="s">
        <v>5</v>
      </c>
      <c r="L138" s="2" t="s">
        <v>597</v>
      </c>
      <c r="M138" s="2" t="s">
        <v>42</v>
      </c>
      <c r="N138" s="2" t="s">
        <v>598</v>
      </c>
      <c r="O138" s="2" t="s">
        <v>599</v>
      </c>
    </row>
    <row r="139" spans="1:15" ht="42.75">
      <c r="A139" s="2" t="s">
        <v>787</v>
      </c>
      <c r="B139" s="2" t="s">
        <v>76</v>
      </c>
      <c r="C139" s="2" t="s">
        <v>584</v>
      </c>
      <c r="D139" s="2" t="s">
        <v>81</v>
      </c>
      <c r="E139" s="2" t="s">
        <v>604</v>
      </c>
      <c r="F139" s="2">
        <v>282.60000000000002</v>
      </c>
      <c r="G139" s="2" t="s">
        <v>783</v>
      </c>
      <c r="H139" s="2" t="s">
        <v>594</v>
      </c>
      <c r="I139" s="2" t="s">
        <v>595</v>
      </c>
      <c r="J139" s="2" t="s">
        <v>784</v>
      </c>
      <c r="K139" s="2" t="s">
        <v>5</v>
      </c>
      <c r="L139" s="2" t="s">
        <v>597</v>
      </c>
      <c r="M139" s="2" t="s">
        <v>42</v>
      </c>
      <c r="N139" s="2" t="s">
        <v>598</v>
      </c>
      <c r="O139" s="2" t="s">
        <v>599</v>
      </c>
    </row>
    <row r="140" spans="1:15" ht="42.75">
      <c r="A140" s="2" t="s">
        <v>788</v>
      </c>
      <c r="B140" s="2" t="s">
        <v>76</v>
      </c>
      <c r="C140" s="2" t="s">
        <v>584</v>
      </c>
      <c r="D140" s="2" t="s">
        <v>81</v>
      </c>
      <c r="E140" s="2" t="s">
        <v>606</v>
      </c>
      <c r="F140" s="2">
        <v>10.7</v>
      </c>
      <c r="G140" s="2" t="s">
        <v>783</v>
      </c>
      <c r="H140" s="2" t="s">
        <v>594</v>
      </c>
      <c r="I140" s="2" t="s">
        <v>595</v>
      </c>
      <c r="J140" s="2" t="s">
        <v>784</v>
      </c>
      <c r="K140" s="2" t="s">
        <v>5</v>
      </c>
      <c r="L140" s="2" t="s">
        <v>597</v>
      </c>
      <c r="M140" s="2" t="s">
        <v>42</v>
      </c>
      <c r="N140" s="2" t="s">
        <v>598</v>
      </c>
      <c r="O140" s="2" t="s">
        <v>599</v>
      </c>
    </row>
    <row r="141" spans="1:15" ht="42.75">
      <c r="A141" s="2" t="s">
        <v>789</v>
      </c>
      <c r="B141" s="2" t="s">
        <v>76</v>
      </c>
      <c r="C141" s="2" t="s">
        <v>584</v>
      </c>
      <c r="D141" s="2" t="s">
        <v>81</v>
      </c>
      <c r="E141" s="2" t="s">
        <v>608</v>
      </c>
      <c r="F141" s="2" t="s">
        <v>542</v>
      </c>
      <c r="G141" s="2" t="s">
        <v>783</v>
      </c>
      <c r="H141" s="2" t="s">
        <v>594</v>
      </c>
      <c r="I141" s="2" t="s">
        <v>595</v>
      </c>
      <c r="J141" s="2" t="s">
        <v>784</v>
      </c>
      <c r="K141" s="2" t="s">
        <v>5</v>
      </c>
      <c r="L141" s="2" t="s">
        <v>597</v>
      </c>
      <c r="M141" s="2" t="s">
        <v>42</v>
      </c>
      <c r="N141" s="2" t="s">
        <v>598</v>
      </c>
      <c r="O141" s="2" t="s">
        <v>599</v>
      </c>
    </row>
    <row r="142" spans="1:15" ht="42.75">
      <c r="A142" s="2" t="s">
        <v>790</v>
      </c>
      <c r="B142" s="2" t="s">
        <v>76</v>
      </c>
      <c r="C142" s="2" t="s">
        <v>584</v>
      </c>
      <c r="D142" s="2" t="s">
        <v>81</v>
      </c>
      <c r="E142" s="2" t="s">
        <v>610</v>
      </c>
      <c r="F142" s="2" t="s">
        <v>555</v>
      </c>
      <c r="G142" s="2" t="s">
        <v>783</v>
      </c>
      <c r="H142" s="2" t="s">
        <v>594</v>
      </c>
      <c r="I142" s="2" t="s">
        <v>595</v>
      </c>
      <c r="J142" s="2" t="s">
        <v>784</v>
      </c>
      <c r="K142" s="2" t="s">
        <v>5</v>
      </c>
      <c r="L142" s="2" t="s">
        <v>597</v>
      </c>
      <c r="M142" s="2" t="s">
        <v>42</v>
      </c>
      <c r="N142" s="2" t="s">
        <v>598</v>
      </c>
      <c r="O142" s="2" t="s">
        <v>599</v>
      </c>
    </row>
    <row r="143" spans="1:15" ht="42.75">
      <c r="A143" s="2" t="s">
        <v>791</v>
      </c>
      <c r="B143" s="2" t="s">
        <v>329</v>
      </c>
      <c r="C143" s="2" t="s">
        <v>584</v>
      </c>
      <c r="D143" s="2" t="s">
        <v>331</v>
      </c>
      <c r="E143" s="2" t="s">
        <v>592</v>
      </c>
      <c r="F143" s="2">
        <v>6.9</v>
      </c>
      <c r="G143" s="2" t="s">
        <v>792</v>
      </c>
      <c r="H143" s="2" t="s">
        <v>594</v>
      </c>
      <c r="I143" s="2" t="s">
        <v>595</v>
      </c>
      <c r="J143" s="2" t="s">
        <v>793</v>
      </c>
      <c r="K143" s="2" t="s">
        <v>5</v>
      </c>
      <c r="L143" s="2" t="s">
        <v>597</v>
      </c>
      <c r="M143" s="2" t="s">
        <v>42</v>
      </c>
      <c r="N143" s="2" t="s">
        <v>598</v>
      </c>
      <c r="O143" s="2" t="s">
        <v>599</v>
      </c>
    </row>
    <row r="144" spans="1:15" ht="42.75">
      <c r="A144" s="2" t="s">
        <v>794</v>
      </c>
      <c r="B144" s="2" t="s">
        <v>329</v>
      </c>
      <c r="C144" s="2" t="s">
        <v>584</v>
      </c>
      <c r="D144" s="2" t="s">
        <v>331</v>
      </c>
      <c r="E144" s="2" t="s">
        <v>498</v>
      </c>
      <c r="F144" s="2">
        <v>8</v>
      </c>
      <c r="G144" s="2" t="s">
        <v>792</v>
      </c>
      <c r="H144" s="2" t="s">
        <v>594</v>
      </c>
      <c r="I144" s="2" t="s">
        <v>595</v>
      </c>
      <c r="J144" s="2" t="s">
        <v>793</v>
      </c>
      <c r="K144" s="2" t="s">
        <v>5</v>
      </c>
      <c r="L144" s="2" t="s">
        <v>597</v>
      </c>
      <c r="M144" s="2" t="s">
        <v>42</v>
      </c>
      <c r="N144" s="2" t="s">
        <v>598</v>
      </c>
      <c r="O144" s="2" t="s">
        <v>599</v>
      </c>
    </row>
    <row r="145" spans="1:15" ht="42.75">
      <c r="A145" s="2" t="s">
        <v>795</v>
      </c>
      <c r="B145" s="2" t="s">
        <v>329</v>
      </c>
      <c r="C145" s="2" t="s">
        <v>584</v>
      </c>
      <c r="D145" s="2" t="s">
        <v>331</v>
      </c>
      <c r="E145" s="2" t="s">
        <v>602</v>
      </c>
      <c r="F145" s="2">
        <v>7.3</v>
      </c>
      <c r="G145" s="2" t="s">
        <v>792</v>
      </c>
      <c r="H145" s="2" t="s">
        <v>594</v>
      </c>
      <c r="I145" s="2" t="s">
        <v>595</v>
      </c>
      <c r="J145" s="2" t="s">
        <v>793</v>
      </c>
      <c r="K145" s="2" t="s">
        <v>5</v>
      </c>
      <c r="L145" s="2" t="s">
        <v>597</v>
      </c>
      <c r="M145" s="2" t="s">
        <v>42</v>
      </c>
      <c r="N145" s="2" t="s">
        <v>598</v>
      </c>
      <c r="O145" s="2" t="s">
        <v>599</v>
      </c>
    </row>
    <row r="146" spans="1:15" ht="42.75">
      <c r="A146" s="2" t="s">
        <v>796</v>
      </c>
      <c r="B146" s="2" t="s">
        <v>329</v>
      </c>
      <c r="C146" s="2" t="s">
        <v>584</v>
      </c>
      <c r="D146" s="2" t="s">
        <v>331</v>
      </c>
      <c r="E146" s="2" t="s">
        <v>604</v>
      </c>
      <c r="F146" s="2">
        <v>239.2</v>
      </c>
      <c r="G146" s="2" t="s">
        <v>792</v>
      </c>
      <c r="H146" s="2" t="s">
        <v>594</v>
      </c>
      <c r="I146" s="2" t="s">
        <v>595</v>
      </c>
      <c r="J146" s="2" t="s">
        <v>793</v>
      </c>
      <c r="K146" s="2" t="s">
        <v>5</v>
      </c>
      <c r="L146" s="2" t="s">
        <v>597</v>
      </c>
      <c r="M146" s="2" t="s">
        <v>42</v>
      </c>
      <c r="N146" s="2" t="s">
        <v>598</v>
      </c>
      <c r="O146" s="2" t="s">
        <v>599</v>
      </c>
    </row>
    <row r="147" spans="1:15" ht="42.75">
      <c r="A147" s="2" t="s">
        <v>797</v>
      </c>
      <c r="B147" s="2" t="s">
        <v>329</v>
      </c>
      <c r="C147" s="2" t="s">
        <v>584</v>
      </c>
      <c r="D147" s="2" t="s">
        <v>331</v>
      </c>
      <c r="E147" s="2" t="s">
        <v>606</v>
      </c>
      <c r="F147" s="2">
        <v>8.4</v>
      </c>
      <c r="G147" s="2" t="s">
        <v>792</v>
      </c>
      <c r="H147" s="2" t="s">
        <v>594</v>
      </c>
      <c r="I147" s="2" t="s">
        <v>595</v>
      </c>
      <c r="J147" s="2" t="s">
        <v>793</v>
      </c>
      <c r="K147" s="2" t="s">
        <v>5</v>
      </c>
      <c r="L147" s="2" t="s">
        <v>597</v>
      </c>
      <c r="M147" s="2" t="s">
        <v>42</v>
      </c>
      <c r="N147" s="2" t="s">
        <v>598</v>
      </c>
      <c r="O147" s="2" t="s">
        <v>599</v>
      </c>
    </row>
    <row r="148" spans="1:15" ht="42.75">
      <c r="A148" s="2" t="s">
        <v>798</v>
      </c>
      <c r="B148" s="2" t="s">
        <v>329</v>
      </c>
      <c r="C148" s="2" t="s">
        <v>584</v>
      </c>
      <c r="D148" s="2" t="s">
        <v>331</v>
      </c>
      <c r="E148" s="2" t="s">
        <v>608</v>
      </c>
      <c r="F148" s="2" t="s">
        <v>799</v>
      </c>
      <c r="G148" s="2" t="s">
        <v>792</v>
      </c>
      <c r="H148" s="2" t="s">
        <v>594</v>
      </c>
      <c r="I148" s="2" t="s">
        <v>595</v>
      </c>
      <c r="J148" s="2" t="s">
        <v>793</v>
      </c>
      <c r="K148" s="2" t="s">
        <v>5</v>
      </c>
      <c r="L148" s="2" t="s">
        <v>597</v>
      </c>
      <c r="M148" s="2" t="s">
        <v>42</v>
      </c>
      <c r="N148" s="2" t="s">
        <v>598</v>
      </c>
      <c r="O148" s="2" t="s">
        <v>599</v>
      </c>
    </row>
    <row r="149" spans="1:15" ht="42.75">
      <c r="A149" s="2" t="s">
        <v>800</v>
      </c>
      <c r="B149" s="2" t="s">
        <v>329</v>
      </c>
      <c r="C149" s="2" t="s">
        <v>584</v>
      </c>
      <c r="D149" s="2" t="s">
        <v>331</v>
      </c>
      <c r="E149" s="2" t="s">
        <v>610</v>
      </c>
      <c r="F149" s="2" t="s">
        <v>555</v>
      </c>
      <c r="G149" s="2" t="s">
        <v>792</v>
      </c>
      <c r="H149" s="2" t="s">
        <v>594</v>
      </c>
      <c r="I149" s="2" t="s">
        <v>595</v>
      </c>
      <c r="J149" s="2" t="s">
        <v>793</v>
      </c>
      <c r="K149" s="2" t="s">
        <v>5</v>
      </c>
      <c r="L149" s="2" t="s">
        <v>597</v>
      </c>
      <c r="M149" s="2" t="s">
        <v>42</v>
      </c>
      <c r="N149" s="2" t="s">
        <v>598</v>
      </c>
      <c r="O149" s="2" t="s">
        <v>599</v>
      </c>
    </row>
    <row r="150" spans="1:15" ht="42.75">
      <c r="A150" s="2" t="s">
        <v>801</v>
      </c>
      <c r="B150" s="2" t="s">
        <v>173</v>
      </c>
      <c r="C150" s="2" t="s">
        <v>584</v>
      </c>
      <c r="D150" s="2" t="s">
        <v>175</v>
      </c>
      <c r="E150" s="2" t="s">
        <v>592</v>
      </c>
      <c r="F150" s="2">
        <v>8</v>
      </c>
      <c r="G150" s="2" t="s">
        <v>802</v>
      </c>
      <c r="H150" s="2" t="s">
        <v>594</v>
      </c>
      <c r="I150" s="2" t="s">
        <v>707</v>
      </c>
      <c r="J150" s="2" t="s">
        <v>803</v>
      </c>
      <c r="K150" s="2" t="s">
        <v>5</v>
      </c>
      <c r="L150" s="2" t="s">
        <v>588</v>
      </c>
      <c r="M150" s="2" t="s">
        <v>42</v>
      </c>
      <c r="N150" s="2" t="s">
        <v>598</v>
      </c>
      <c r="O150" s="2" t="s">
        <v>599</v>
      </c>
    </row>
    <row r="151" spans="1:15" ht="42.75">
      <c r="A151" s="2" t="s">
        <v>804</v>
      </c>
      <c r="B151" s="2" t="s">
        <v>173</v>
      </c>
      <c r="C151" s="2" t="s">
        <v>584</v>
      </c>
      <c r="D151" s="2" t="s">
        <v>175</v>
      </c>
      <c r="E151" s="2" t="s">
        <v>498</v>
      </c>
      <c r="F151" s="2">
        <v>6.6</v>
      </c>
      <c r="G151" s="2" t="s">
        <v>802</v>
      </c>
      <c r="H151" s="2" t="s">
        <v>594</v>
      </c>
      <c r="I151" s="2" t="s">
        <v>707</v>
      </c>
      <c r="J151" s="2" t="s">
        <v>803</v>
      </c>
      <c r="K151" s="2" t="s">
        <v>5</v>
      </c>
      <c r="L151" s="2" t="s">
        <v>588</v>
      </c>
      <c r="M151" s="2" t="s">
        <v>42</v>
      </c>
      <c r="N151" s="2" t="s">
        <v>598</v>
      </c>
      <c r="O151" s="2" t="s">
        <v>599</v>
      </c>
    </row>
    <row r="152" spans="1:15" ht="42.75">
      <c r="A152" s="2" t="s">
        <v>805</v>
      </c>
      <c r="B152" s="2" t="s">
        <v>173</v>
      </c>
      <c r="C152" s="2" t="s">
        <v>584</v>
      </c>
      <c r="D152" s="2" t="s">
        <v>175</v>
      </c>
      <c r="E152" s="2" t="s">
        <v>602</v>
      </c>
      <c r="F152" s="2" t="s">
        <v>806</v>
      </c>
      <c r="G152" s="2" t="s">
        <v>802</v>
      </c>
      <c r="H152" s="2" t="s">
        <v>594</v>
      </c>
      <c r="I152" s="2" t="s">
        <v>707</v>
      </c>
      <c r="J152" s="2" t="s">
        <v>803</v>
      </c>
      <c r="K152" s="2" t="s">
        <v>5</v>
      </c>
      <c r="L152" s="2" t="s">
        <v>588</v>
      </c>
      <c r="M152" s="2" t="s">
        <v>42</v>
      </c>
      <c r="N152" s="2" t="s">
        <v>598</v>
      </c>
      <c r="O152" s="2" t="s">
        <v>599</v>
      </c>
    </row>
    <row r="153" spans="1:15" ht="42.75">
      <c r="A153" s="2" t="s">
        <v>807</v>
      </c>
      <c r="B153" s="2" t="s">
        <v>173</v>
      </c>
      <c r="C153" s="2" t="s">
        <v>584</v>
      </c>
      <c r="D153" s="2" t="s">
        <v>175</v>
      </c>
      <c r="E153" s="2" t="s">
        <v>604</v>
      </c>
      <c r="F153" s="2">
        <v>220</v>
      </c>
      <c r="G153" s="2" t="s">
        <v>802</v>
      </c>
      <c r="H153" s="2" t="s">
        <v>594</v>
      </c>
      <c r="I153" s="2" t="s">
        <v>707</v>
      </c>
      <c r="J153" s="2" t="s">
        <v>803</v>
      </c>
      <c r="K153" s="2" t="s">
        <v>5</v>
      </c>
      <c r="L153" s="2" t="s">
        <v>588</v>
      </c>
      <c r="M153" s="2" t="s">
        <v>42</v>
      </c>
      <c r="N153" s="2" t="s">
        <v>598</v>
      </c>
      <c r="O153" s="2" t="s">
        <v>599</v>
      </c>
    </row>
    <row r="154" spans="1:15" ht="42.75">
      <c r="A154" s="2" t="s">
        <v>808</v>
      </c>
      <c r="B154" s="2" t="s">
        <v>173</v>
      </c>
      <c r="C154" s="2" t="s">
        <v>584</v>
      </c>
      <c r="D154" s="2" t="s">
        <v>175</v>
      </c>
      <c r="E154" s="2" t="s">
        <v>606</v>
      </c>
      <c r="F154" s="2">
        <v>6.7</v>
      </c>
      <c r="G154" s="2" t="s">
        <v>802</v>
      </c>
      <c r="H154" s="2" t="s">
        <v>594</v>
      </c>
      <c r="I154" s="2" t="s">
        <v>707</v>
      </c>
      <c r="J154" s="2" t="s">
        <v>803</v>
      </c>
      <c r="K154" s="2" t="s">
        <v>5</v>
      </c>
      <c r="L154" s="2" t="s">
        <v>588</v>
      </c>
      <c r="M154" s="2" t="s">
        <v>42</v>
      </c>
      <c r="N154" s="2" t="s">
        <v>598</v>
      </c>
      <c r="O154" s="2" t="s">
        <v>599</v>
      </c>
    </row>
    <row r="155" spans="1:15" ht="42.75">
      <c r="A155" s="2" t="s">
        <v>809</v>
      </c>
      <c r="B155" s="2" t="s">
        <v>173</v>
      </c>
      <c r="C155" s="2" t="s">
        <v>584</v>
      </c>
      <c r="D155" s="2" t="s">
        <v>175</v>
      </c>
      <c r="E155" s="2" t="s">
        <v>608</v>
      </c>
      <c r="F155" s="2" t="s">
        <v>496</v>
      </c>
      <c r="G155" s="2" t="s">
        <v>802</v>
      </c>
      <c r="H155" s="2" t="s">
        <v>594</v>
      </c>
      <c r="I155" s="2" t="s">
        <v>707</v>
      </c>
      <c r="J155" s="2" t="s">
        <v>803</v>
      </c>
      <c r="K155" s="2" t="s">
        <v>5</v>
      </c>
      <c r="L155" s="2" t="s">
        <v>588</v>
      </c>
      <c r="M155" s="2" t="s">
        <v>42</v>
      </c>
      <c r="N155" s="2" t="s">
        <v>598</v>
      </c>
      <c r="O155" s="2" t="s">
        <v>599</v>
      </c>
    </row>
    <row r="156" spans="1:15" ht="42.75">
      <c r="A156" s="2" t="s">
        <v>810</v>
      </c>
      <c r="B156" s="2" t="s">
        <v>173</v>
      </c>
      <c r="C156" s="2" t="s">
        <v>584</v>
      </c>
      <c r="D156" s="2" t="s">
        <v>175</v>
      </c>
      <c r="E156" s="2" t="s">
        <v>610</v>
      </c>
      <c r="F156" s="2" t="s">
        <v>621</v>
      </c>
      <c r="G156" s="2" t="s">
        <v>802</v>
      </c>
      <c r="H156" s="2" t="s">
        <v>594</v>
      </c>
      <c r="I156" s="2" t="s">
        <v>707</v>
      </c>
      <c r="J156" s="2" t="s">
        <v>803</v>
      </c>
      <c r="K156" s="2" t="s">
        <v>5</v>
      </c>
      <c r="L156" s="2" t="s">
        <v>588</v>
      </c>
      <c r="M156" s="2" t="s">
        <v>42</v>
      </c>
      <c r="N156" s="2" t="s">
        <v>598</v>
      </c>
      <c r="O156" s="2" t="s">
        <v>599</v>
      </c>
    </row>
    <row r="157" spans="1:15" ht="42.75">
      <c r="A157" s="2" t="s">
        <v>811</v>
      </c>
      <c r="B157" s="2" t="s">
        <v>164</v>
      </c>
      <c r="C157" s="2" t="s">
        <v>584</v>
      </c>
      <c r="D157" s="2" t="s">
        <v>168</v>
      </c>
      <c r="E157" s="2" t="s">
        <v>592</v>
      </c>
      <c r="F157" s="2" t="s">
        <v>597</v>
      </c>
      <c r="G157" s="2" t="s">
        <v>812</v>
      </c>
      <c r="H157" s="2" t="s">
        <v>594</v>
      </c>
      <c r="I157" s="2" t="s">
        <v>727</v>
      </c>
      <c r="J157" s="2" t="s">
        <v>813</v>
      </c>
      <c r="K157" s="2" t="s">
        <v>5</v>
      </c>
      <c r="L157" s="2" t="s">
        <v>588</v>
      </c>
      <c r="M157" s="2" t="s">
        <v>42</v>
      </c>
      <c r="N157" s="2" t="s">
        <v>598</v>
      </c>
      <c r="O157" s="2" t="s">
        <v>599</v>
      </c>
    </row>
    <row r="158" spans="1:15" ht="42.75">
      <c r="A158" s="2" t="s">
        <v>814</v>
      </c>
      <c r="B158" s="2" t="s">
        <v>164</v>
      </c>
      <c r="C158" s="2" t="s">
        <v>584</v>
      </c>
      <c r="D158" s="2" t="s">
        <v>168</v>
      </c>
      <c r="E158" s="2" t="s">
        <v>498</v>
      </c>
      <c r="F158" s="2" t="s">
        <v>635</v>
      </c>
      <c r="G158" s="2" t="s">
        <v>812</v>
      </c>
      <c r="H158" s="2" t="s">
        <v>594</v>
      </c>
      <c r="I158" s="2" t="s">
        <v>727</v>
      </c>
      <c r="J158" s="2" t="s">
        <v>813</v>
      </c>
      <c r="K158" s="2" t="s">
        <v>5</v>
      </c>
      <c r="L158" s="2" t="s">
        <v>588</v>
      </c>
      <c r="M158" s="2" t="s">
        <v>42</v>
      </c>
      <c r="N158" s="2" t="s">
        <v>598</v>
      </c>
      <c r="O158" s="2" t="s">
        <v>599</v>
      </c>
    </row>
    <row r="159" spans="1:15" ht="42.75">
      <c r="A159" s="2" t="s">
        <v>815</v>
      </c>
      <c r="B159" s="2" t="s">
        <v>164</v>
      </c>
      <c r="C159" s="2" t="s">
        <v>584</v>
      </c>
      <c r="D159" s="2" t="s">
        <v>168</v>
      </c>
      <c r="E159" s="2" t="s">
        <v>602</v>
      </c>
      <c r="F159" s="2" t="s">
        <v>588</v>
      </c>
      <c r="G159" s="2" t="s">
        <v>812</v>
      </c>
      <c r="H159" s="2" t="s">
        <v>594</v>
      </c>
      <c r="I159" s="2" t="s">
        <v>727</v>
      </c>
      <c r="J159" s="2" t="s">
        <v>813</v>
      </c>
      <c r="K159" s="2" t="s">
        <v>5</v>
      </c>
      <c r="L159" s="2" t="s">
        <v>588</v>
      </c>
      <c r="M159" s="2" t="s">
        <v>42</v>
      </c>
      <c r="N159" s="2" t="s">
        <v>598</v>
      </c>
      <c r="O159" s="2" t="s">
        <v>599</v>
      </c>
    </row>
    <row r="160" spans="1:15" ht="42.75">
      <c r="A160" s="2" t="s">
        <v>816</v>
      </c>
      <c r="B160" s="2" t="s">
        <v>164</v>
      </c>
      <c r="C160" s="2" t="s">
        <v>584</v>
      </c>
      <c r="D160" s="2" t="s">
        <v>168</v>
      </c>
      <c r="E160" s="2" t="s">
        <v>604</v>
      </c>
      <c r="F160" s="2">
        <v>245</v>
      </c>
      <c r="G160" s="2" t="s">
        <v>812</v>
      </c>
      <c r="H160" s="2" t="s">
        <v>594</v>
      </c>
      <c r="I160" s="2" t="s">
        <v>727</v>
      </c>
      <c r="J160" s="2" t="s">
        <v>813</v>
      </c>
      <c r="K160" s="2" t="s">
        <v>5</v>
      </c>
      <c r="L160" s="2" t="s">
        <v>588</v>
      </c>
      <c r="M160" s="2" t="s">
        <v>42</v>
      </c>
      <c r="N160" s="2" t="s">
        <v>598</v>
      </c>
      <c r="O160" s="2" t="s">
        <v>599</v>
      </c>
    </row>
    <row r="161" spans="1:15" ht="42.75">
      <c r="A161" s="2" t="s">
        <v>817</v>
      </c>
      <c r="B161" s="2" t="s">
        <v>164</v>
      </c>
      <c r="C161" s="2" t="s">
        <v>584</v>
      </c>
      <c r="D161" s="2" t="s">
        <v>168</v>
      </c>
      <c r="E161" s="2" t="s">
        <v>606</v>
      </c>
      <c r="F161" s="2">
        <v>8.1999999999999993</v>
      </c>
      <c r="G161" s="2" t="s">
        <v>812</v>
      </c>
      <c r="H161" s="2" t="s">
        <v>594</v>
      </c>
      <c r="I161" s="2" t="s">
        <v>727</v>
      </c>
      <c r="J161" s="2" t="s">
        <v>813</v>
      </c>
      <c r="K161" s="2" t="s">
        <v>5</v>
      </c>
      <c r="L161" s="2" t="s">
        <v>588</v>
      </c>
      <c r="M161" s="2" t="s">
        <v>42</v>
      </c>
      <c r="N161" s="2" t="s">
        <v>598</v>
      </c>
      <c r="O161" s="2" t="s">
        <v>599</v>
      </c>
    </row>
    <row r="162" spans="1:15" ht="42.75">
      <c r="A162" s="2" t="s">
        <v>818</v>
      </c>
      <c r="B162" s="2" t="s">
        <v>164</v>
      </c>
      <c r="C162" s="2" t="s">
        <v>584</v>
      </c>
      <c r="D162" s="2" t="s">
        <v>168</v>
      </c>
      <c r="E162" s="2" t="s">
        <v>608</v>
      </c>
      <c r="F162" s="2" t="s">
        <v>542</v>
      </c>
      <c r="G162" s="2" t="s">
        <v>812</v>
      </c>
      <c r="H162" s="2" t="s">
        <v>594</v>
      </c>
      <c r="I162" s="2" t="s">
        <v>727</v>
      </c>
      <c r="J162" s="2" t="s">
        <v>813</v>
      </c>
      <c r="K162" s="2" t="s">
        <v>5</v>
      </c>
      <c r="L162" s="2" t="s">
        <v>588</v>
      </c>
      <c r="M162" s="2" t="s">
        <v>42</v>
      </c>
      <c r="N162" s="2" t="s">
        <v>598</v>
      </c>
      <c r="O162" s="2" t="s">
        <v>599</v>
      </c>
    </row>
    <row r="163" spans="1:15" ht="42.75">
      <c r="A163" s="2" t="s">
        <v>819</v>
      </c>
      <c r="B163" s="2" t="s">
        <v>164</v>
      </c>
      <c r="C163" s="2" t="s">
        <v>584</v>
      </c>
      <c r="D163" s="2" t="s">
        <v>168</v>
      </c>
      <c r="E163" s="2" t="s">
        <v>610</v>
      </c>
      <c r="F163" s="2" t="s">
        <v>555</v>
      </c>
      <c r="G163" s="2" t="s">
        <v>812</v>
      </c>
      <c r="H163" s="2" t="s">
        <v>594</v>
      </c>
      <c r="I163" s="2" t="s">
        <v>727</v>
      </c>
      <c r="J163" s="2" t="s">
        <v>813</v>
      </c>
      <c r="K163" s="2" t="s">
        <v>5</v>
      </c>
      <c r="L163" s="2" t="s">
        <v>588</v>
      </c>
      <c r="M163" s="2" t="s">
        <v>42</v>
      </c>
      <c r="N163" s="2" t="s">
        <v>598</v>
      </c>
      <c r="O163" s="2" t="s">
        <v>599</v>
      </c>
    </row>
    <row r="164" spans="1:15" ht="42.75">
      <c r="A164" s="2" t="s">
        <v>820</v>
      </c>
      <c r="B164" s="2" t="s">
        <v>292</v>
      </c>
      <c r="C164" s="2" t="s">
        <v>584</v>
      </c>
      <c r="D164" s="2" t="s">
        <v>296</v>
      </c>
      <c r="E164" s="2" t="s">
        <v>592</v>
      </c>
      <c r="F164" s="2">
        <v>8.3000000000000007</v>
      </c>
      <c r="G164" s="2" t="s">
        <v>821</v>
      </c>
      <c r="H164" s="2" t="s">
        <v>594</v>
      </c>
      <c r="I164" s="2" t="s">
        <v>707</v>
      </c>
      <c r="J164" s="2" t="s">
        <v>822</v>
      </c>
      <c r="K164" s="2" t="s">
        <v>5</v>
      </c>
      <c r="L164" s="2" t="s">
        <v>588</v>
      </c>
      <c r="M164" s="2" t="s">
        <v>42</v>
      </c>
      <c r="N164" s="2" t="s">
        <v>598</v>
      </c>
      <c r="O164" s="2" t="s">
        <v>599</v>
      </c>
    </row>
    <row r="165" spans="1:15" ht="42.75">
      <c r="A165" s="2" t="s">
        <v>823</v>
      </c>
      <c r="B165" s="2" t="s">
        <v>292</v>
      </c>
      <c r="C165" s="2" t="s">
        <v>584</v>
      </c>
      <c r="D165" s="2" t="s">
        <v>296</v>
      </c>
      <c r="E165" s="2" t="s">
        <v>498</v>
      </c>
      <c r="F165" s="2">
        <v>5.5</v>
      </c>
      <c r="G165" s="2" t="s">
        <v>821</v>
      </c>
      <c r="H165" s="2" t="s">
        <v>594</v>
      </c>
      <c r="I165" s="2" t="s">
        <v>707</v>
      </c>
      <c r="J165" s="2" t="s">
        <v>822</v>
      </c>
      <c r="K165" s="2" t="s">
        <v>5</v>
      </c>
      <c r="L165" s="2" t="s">
        <v>588</v>
      </c>
      <c r="M165" s="2" t="s">
        <v>42</v>
      </c>
      <c r="N165" s="2" t="s">
        <v>598</v>
      </c>
      <c r="O165" s="2" t="s">
        <v>599</v>
      </c>
    </row>
    <row r="166" spans="1:15" ht="42.75">
      <c r="A166" s="2" t="s">
        <v>824</v>
      </c>
      <c r="B166" s="2" t="s">
        <v>292</v>
      </c>
      <c r="C166" s="2" t="s">
        <v>584</v>
      </c>
      <c r="D166" s="2" t="s">
        <v>296</v>
      </c>
      <c r="E166" s="2" t="s">
        <v>602</v>
      </c>
      <c r="F166" s="2" t="s">
        <v>825</v>
      </c>
      <c r="G166" s="2" t="s">
        <v>821</v>
      </c>
      <c r="H166" s="2" t="s">
        <v>594</v>
      </c>
      <c r="I166" s="2" t="s">
        <v>707</v>
      </c>
      <c r="J166" s="2" t="s">
        <v>822</v>
      </c>
      <c r="K166" s="2" t="s">
        <v>5</v>
      </c>
      <c r="L166" s="2" t="s">
        <v>588</v>
      </c>
      <c r="M166" s="2" t="s">
        <v>42</v>
      </c>
      <c r="N166" s="2" t="s">
        <v>598</v>
      </c>
      <c r="O166" s="2" t="s">
        <v>599</v>
      </c>
    </row>
    <row r="167" spans="1:15" ht="42.75">
      <c r="A167" s="2" t="s">
        <v>826</v>
      </c>
      <c r="B167" s="2" t="s">
        <v>292</v>
      </c>
      <c r="C167" s="2" t="s">
        <v>584</v>
      </c>
      <c r="D167" s="2" t="s">
        <v>296</v>
      </c>
      <c r="E167" s="2" t="s">
        <v>604</v>
      </c>
      <c r="F167" s="2">
        <v>157.30000000000001</v>
      </c>
      <c r="G167" s="2" t="s">
        <v>821</v>
      </c>
      <c r="H167" s="2" t="s">
        <v>594</v>
      </c>
      <c r="I167" s="2" t="s">
        <v>707</v>
      </c>
      <c r="J167" s="2" t="s">
        <v>822</v>
      </c>
      <c r="K167" s="2" t="s">
        <v>5</v>
      </c>
      <c r="L167" s="2" t="s">
        <v>588</v>
      </c>
      <c r="M167" s="2" t="s">
        <v>42</v>
      </c>
      <c r="N167" s="2" t="s">
        <v>598</v>
      </c>
      <c r="O167" s="2" t="s">
        <v>599</v>
      </c>
    </row>
    <row r="168" spans="1:15" ht="42.75">
      <c r="A168" s="2" t="s">
        <v>827</v>
      </c>
      <c r="B168" s="2" t="s">
        <v>292</v>
      </c>
      <c r="C168" s="2" t="s">
        <v>584</v>
      </c>
      <c r="D168" s="2" t="s">
        <v>296</v>
      </c>
      <c r="E168" s="2" t="s">
        <v>606</v>
      </c>
      <c r="F168" s="2">
        <v>4.7</v>
      </c>
      <c r="G168" s="2" t="s">
        <v>821</v>
      </c>
      <c r="H168" s="2" t="s">
        <v>594</v>
      </c>
      <c r="I168" s="2" t="s">
        <v>707</v>
      </c>
      <c r="J168" s="2" t="s">
        <v>822</v>
      </c>
      <c r="K168" s="2" t="s">
        <v>5</v>
      </c>
      <c r="L168" s="2" t="s">
        <v>588</v>
      </c>
      <c r="M168" s="2" t="s">
        <v>42</v>
      </c>
      <c r="N168" s="2" t="s">
        <v>598</v>
      </c>
      <c r="O168" s="2" t="s">
        <v>599</v>
      </c>
    </row>
    <row r="169" spans="1:15" ht="42.75">
      <c r="A169" s="2" t="s">
        <v>828</v>
      </c>
      <c r="B169" s="2" t="s">
        <v>292</v>
      </c>
      <c r="C169" s="2" t="s">
        <v>584</v>
      </c>
      <c r="D169" s="2" t="s">
        <v>296</v>
      </c>
      <c r="E169" s="2" t="s">
        <v>608</v>
      </c>
      <c r="F169" s="2" t="s">
        <v>503</v>
      </c>
      <c r="G169" s="2" t="s">
        <v>821</v>
      </c>
      <c r="H169" s="2" t="s">
        <v>594</v>
      </c>
      <c r="I169" s="2" t="s">
        <v>707</v>
      </c>
      <c r="J169" s="2" t="s">
        <v>822</v>
      </c>
      <c r="K169" s="2" t="s">
        <v>5</v>
      </c>
      <c r="L169" s="2" t="s">
        <v>588</v>
      </c>
      <c r="M169" s="2" t="s">
        <v>42</v>
      </c>
      <c r="N169" s="2" t="s">
        <v>598</v>
      </c>
      <c r="O169" s="2" t="s">
        <v>599</v>
      </c>
    </row>
    <row r="170" spans="1:15" ht="42.75">
      <c r="A170" s="2" t="s">
        <v>829</v>
      </c>
      <c r="B170" s="2" t="s">
        <v>292</v>
      </c>
      <c r="C170" s="2" t="s">
        <v>584</v>
      </c>
      <c r="D170" s="2" t="s">
        <v>296</v>
      </c>
      <c r="E170" s="2" t="s">
        <v>610</v>
      </c>
      <c r="F170" s="2" t="s">
        <v>621</v>
      </c>
      <c r="G170" s="2" t="s">
        <v>821</v>
      </c>
      <c r="H170" s="2" t="s">
        <v>594</v>
      </c>
      <c r="I170" s="2" t="s">
        <v>707</v>
      </c>
      <c r="J170" s="2" t="s">
        <v>822</v>
      </c>
      <c r="K170" s="2" t="s">
        <v>5</v>
      </c>
      <c r="L170" s="2" t="s">
        <v>588</v>
      </c>
      <c r="M170" s="2" t="s">
        <v>42</v>
      </c>
      <c r="N170" s="2" t="s">
        <v>598</v>
      </c>
      <c r="O170" s="2" t="s">
        <v>599</v>
      </c>
    </row>
    <row r="171" spans="1:15" ht="42.75">
      <c r="A171" s="2" t="s">
        <v>830</v>
      </c>
      <c r="B171" s="2" t="s">
        <v>360</v>
      </c>
      <c r="C171" s="2" t="s">
        <v>584</v>
      </c>
      <c r="D171" s="2" t="s">
        <v>362</v>
      </c>
      <c r="E171" s="2" t="s">
        <v>592</v>
      </c>
      <c r="F171" s="2">
        <v>8.9</v>
      </c>
      <c r="G171" s="2" t="s">
        <v>831</v>
      </c>
      <c r="H171" s="2" t="s">
        <v>594</v>
      </c>
      <c r="I171" s="2" t="s">
        <v>613</v>
      </c>
      <c r="J171" s="2" t="s">
        <v>832</v>
      </c>
      <c r="K171" s="2" t="s">
        <v>5</v>
      </c>
      <c r="L171" s="2" t="s">
        <v>588</v>
      </c>
      <c r="M171" s="2" t="s">
        <v>42</v>
      </c>
      <c r="N171" s="2" t="s">
        <v>598</v>
      </c>
      <c r="O171" s="2" t="s">
        <v>599</v>
      </c>
    </row>
    <row r="172" spans="1:15" ht="42.75">
      <c r="A172" s="2" t="s">
        <v>833</v>
      </c>
      <c r="B172" s="2" t="s">
        <v>360</v>
      </c>
      <c r="C172" s="2" t="s">
        <v>584</v>
      </c>
      <c r="D172" s="2" t="s">
        <v>362</v>
      </c>
      <c r="E172" s="2" t="s">
        <v>498</v>
      </c>
      <c r="F172" s="2">
        <v>7.1</v>
      </c>
      <c r="G172" s="2" t="s">
        <v>831</v>
      </c>
      <c r="H172" s="2" t="s">
        <v>594</v>
      </c>
      <c r="I172" s="2" t="s">
        <v>613</v>
      </c>
      <c r="J172" s="2" t="s">
        <v>832</v>
      </c>
      <c r="K172" s="2" t="s">
        <v>5</v>
      </c>
      <c r="L172" s="2" t="s">
        <v>588</v>
      </c>
      <c r="M172" s="2" t="s">
        <v>42</v>
      </c>
      <c r="N172" s="2" t="s">
        <v>598</v>
      </c>
      <c r="O172" s="2" t="s">
        <v>599</v>
      </c>
    </row>
    <row r="173" spans="1:15" ht="42.75">
      <c r="A173" s="2" t="s">
        <v>834</v>
      </c>
      <c r="B173" s="2" t="s">
        <v>360</v>
      </c>
      <c r="C173" s="2" t="s">
        <v>584</v>
      </c>
      <c r="D173" s="2" t="s">
        <v>362</v>
      </c>
      <c r="E173" s="2" t="s">
        <v>602</v>
      </c>
      <c r="F173" s="2">
        <v>7.2</v>
      </c>
      <c r="G173" s="2" t="s">
        <v>831</v>
      </c>
      <c r="H173" s="2" t="s">
        <v>594</v>
      </c>
      <c r="I173" s="2" t="s">
        <v>613</v>
      </c>
      <c r="J173" s="2" t="s">
        <v>832</v>
      </c>
      <c r="K173" s="2" t="s">
        <v>5</v>
      </c>
      <c r="L173" s="2" t="s">
        <v>588</v>
      </c>
      <c r="M173" s="2" t="s">
        <v>42</v>
      </c>
      <c r="N173" s="2" t="s">
        <v>598</v>
      </c>
      <c r="O173" s="2" t="s">
        <v>599</v>
      </c>
    </row>
    <row r="174" spans="1:15" ht="42.75">
      <c r="A174" s="2" t="s">
        <v>835</v>
      </c>
      <c r="B174" s="2" t="s">
        <v>360</v>
      </c>
      <c r="C174" s="2" t="s">
        <v>584</v>
      </c>
      <c r="D174" s="2" t="s">
        <v>362</v>
      </c>
      <c r="E174" s="2" t="s">
        <v>604</v>
      </c>
      <c r="F174" s="2">
        <v>243.9</v>
      </c>
      <c r="G174" s="2" t="s">
        <v>831</v>
      </c>
      <c r="H174" s="2" t="s">
        <v>594</v>
      </c>
      <c r="I174" s="2" t="s">
        <v>613</v>
      </c>
      <c r="J174" s="2" t="s">
        <v>832</v>
      </c>
      <c r="K174" s="2" t="s">
        <v>5</v>
      </c>
      <c r="L174" s="2" t="s">
        <v>588</v>
      </c>
      <c r="M174" s="2" t="s">
        <v>42</v>
      </c>
      <c r="N174" s="2" t="s">
        <v>598</v>
      </c>
      <c r="O174" s="2" t="s">
        <v>599</v>
      </c>
    </row>
    <row r="175" spans="1:15" ht="42.75">
      <c r="A175" s="2" t="s">
        <v>836</v>
      </c>
      <c r="B175" s="2" t="s">
        <v>360</v>
      </c>
      <c r="C175" s="2" t="s">
        <v>584</v>
      </c>
      <c r="D175" s="2" t="s">
        <v>362</v>
      </c>
      <c r="E175" s="2" t="s">
        <v>606</v>
      </c>
      <c r="F175" s="2">
        <v>5.4</v>
      </c>
      <c r="G175" s="2" t="s">
        <v>831</v>
      </c>
      <c r="H175" s="2" t="s">
        <v>594</v>
      </c>
      <c r="I175" s="2" t="s">
        <v>613</v>
      </c>
      <c r="J175" s="2" t="s">
        <v>832</v>
      </c>
      <c r="K175" s="2" t="s">
        <v>5</v>
      </c>
      <c r="L175" s="2" t="s">
        <v>588</v>
      </c>
      <c r="M175" s="2" t="s">
        <v>42</v>
      </c>
      <c r="N175" s="2" t="s">
        <v>598</v>
      </c>
      <c r="O175" s="2" t="s">
        <v>599</v>
      </c>
    </row>
    <row r="176" spans="1:15" ht="42.75">
      <c r="A176" s="2" t="s">
        <v>837</v>
      </c>
      <c r="B176" s="2" t="s">
        <v>360</v>
      </c>
      <c r="C176" s="2" t="s">
        <v>584</v>
      </c>
      <c r="D176" s="2" t="s">
        <v>362</v>
      </c>
      <c r="E176" s="2" t="s">
        <v>608</v>
      </c>
      <c r="F176" s="2" t="s">
        <v>496</v>
      </c>
      <c r="G176" s="2" t="s">
        <v>831</v>
      </c>
      <c r="H176" s="2" t="s">
        <v>594</v>
      </c>
      <c r="I176" s="2" t="s">
        <v>613</v>
      </c>
      <c r="J176" s="2" t="s">
        <v>832</v>
      </c>
      <c r="K176" s="2" t="s">
        <v>5</v>
      </c>
      <c r="L176" s="2" t="s">
        <v>588</v>
      </c>
      <c r="M176" s="2" t="s">
        <v>42</v>
      </c>
      <c r="N176" s="2" t="s">
        <v>598</v>
      </c>
      <c r="O176" s="2" t="s">
        <v>599</v>
      </c>
    </row>
    <row r="177" spans="1:15" ht="42.75">
      <c r="A177" s="2" t="s">
        <v>838</v>
      </c>
      <c r="B177" s="2" t="s">
        <v>360</v>
      </c>
      <c r="C177" s="2" t="s">
        <v>584</v>
      </c>
      <c r="D177" s="2" t="s">
        <v>362</v>
      </c>
      <c r="E177" s="2" t="s">
        <v>610</v>
      </c>
      <c r="F177" s="2" t="s">
        <v>621</v>
      </c>
      <c r="G177" s="2" t="s">
        <v>831</v>
      </c>
      <c r="H177" s="2" t="s">
        <v>594</v>
      </c>
      <c r="I177" s="2" t="s">
        <v>613</v>
      </c>
      <c r="J177" s="2" t="s">
        <v>832</v>
      </c>
      <c r="K177" s="2" t="s">
        <v>5</v>
      </c>
      <c r="L177" s="2" t="s">
        <v>588</v>
      </c>
      <c r="M177" s="2" t="s">
        <v>42</v>
      </c>
      <c r="N177" s="2" t="s">
        <v>598</v>
      </c>
      <c r="O177" s="2" t="s">
        <v>599</v>
      </c>
    </row>
    <row r="178" spans="1:15" ht="42.75">
      <c r="A178" s="2" t="s">
        <v>839</v>
      </c>
      <c r="B178" s="2" t="s">
        <v>214</v>
      </c>
      <c r="C178" s="2" t="s">
        <v>584</v>
      </c>
      <c r="D178" s="2" t="s">
        <v>218</v>
      </c>
      <c r="E178" s="2" t="s">
        <v>592</v>
      </c>
      <c r="F178" s="2">
        <v>7.6</v>
      </c>
      <c r="G178" s="2" t="s">
        <v>840</v>
      </c>
      <c r="H178" s="2" t="s">
        <v>594</v>
      </c>
      <c r="I178" s="2" t="s">
        <v>595</v>
      </c>
      <c r="J178" s="2" t="s">
        <v>841</v>
      </c>
      <c r="K178" s="2" t="s">
        <v>5</v>
      </c>
      <c r="L178" s="2" t="s">
        <v>597</v>
      </c>
      <c r="M178" s="2" t="s">
        <v>42</v>
      </c>
      <c r="N178" s="2" t="s">
        <v>598</v>
      </c>
      <c r="O178" s="2" t="s">
        <v>599</v>
      </c>
    </row>
    <row r="179" spans="1:15" ht="42.75">
      <c r="A179" s="2" t="s">
        <v>842</v>
      </c>
      <c r="B179" s="2" t="s">
        <v>214</v>
      </c>
      <c r="C179" s="2" t="s">
        <v>584</v>
      </c>
      <c r="D179" s="2" t="s">
        <v>218</v>
      </c>
      <c r="E179" s="2" t="s">
        <v>498</v>
      </c>
      <c r="F179" s="2">
        <v>5.4</v>
      </c>
      <c r="G179" s="2" t="s">
        <v>840</v>
      </c>
      <c r="H179" s="2" t="s">
        <v>594</v>
      </c>
      <c r="I179" s="2" t="s">
        <v>595</v>
      </c>
      <c r="J179" s="2" t="s">
        <v>841</v>
      </c>
      <c r="K179" s="2" t="s">
        <v>5</v>
      </c>
      <c r="L179" s="2" t="s">
        <v>597</v>
      </c>
      <c r="M179" s="2" t="s">
        <v>42</v>
      </c>
      <c r="N179" s="2" t="s">
        <v>598</v>
      </c>
      <c r="O179" s="2" t="s">
        <v>599</v>
      </c>
    </row>
    <row r="180" spans="1:15" ht="42.75">
      <c r="A180" s="2" t="s">
        <v>843</v>
      </c>
      <c r="B180" s="2" t="s">
        <v>214</v>
      </c>
      <c r="C180" s="2" t="s">
        <v>584</v>
      </c>
      <c r="D180" s="2" t="s">
        <v>218</v>
      </c>
      <c r="E180" s="2" t="s">
        <v>602</v>
      </c>
      <c r="F180" s="2">
        <v>8.1999999999999993</v>
      </c>
      <c r="G180" s="2" t="s">
        <v>840</v>
      </c>
      <c r="H180" s="2" t="s">
        <v>594</v>
      </c>
      <c r="I180" s="2" t="s">
        <v>595</v>
      </c>
      <c r="J180" s="2" t="s">
        <v>841</v>
      </c>
      <c r="K180" s="2" t="s">
        <v>5</v>
      </c>
      <c r="L180" s="2" t="s">
        <v>597</v>
      </c>
      <c r="M180" s="2" t="s">
        <v>42</v>
      </c>
      <c r="N180" s="2" t="s">
        <v>598</v>
      </c>
      <c r="O180" s="2" t="s">
        <v>599</v>
      </c>
    </row>
    <row r="181" spans="1:15" ht="42.75">
      <c r="A181" s="2" t="s">
        <v>844</v>
      </c>
      <c r="B181" s="2" t="s">
        <v>214</v>
      </c>
      <c r="C181" s="2" t="s">
        <v>584</v>
      </c>
      <c r="D181" s="2" t="s">
        <v>218</v>
      </c>
      <c r="E181" s="2" t="s">
        <v>604</v>
      </c>
      <c r="F181" s="2">
        <v>200.5</v>
      </c>
      <c r="G181" s="2" t="s">
        <v>840</v>
      </c>
      <c r="H181" s="2" t="s">
        <v>594</v>
      </c>
      <c r="I181" s="2" t="s">
        <v>595</v>
      </c>
      <c r="J181" s="2" t="s">
        <v>841</v>
      </c>
      <c r="K181" s="2" t="s">
        <v>5</v>
      </c>
      <c r="L181" s="2" t="s">
        <v>597</v>
      </c>
      <c r="M181" s="2" t="s">
        <v>42</v>
      </c>
      <c r="N181" s="2" t="s">
        <v>598</v>
      </c>
      <c r="O181" s="2" t="s">
        <v>599</v>
      </c>
    </row>
    <row r="182" spans="1:15" ht="42.75">
      <c r="A182" s="2" t="s">
        <v>845</v>
      </c>
      <c r="B182" s="2" t="s">
        <v>214</v>
      </c>
      <c r="C182" s="2" t="s">
        <v>584</v>
      </c>
      <c r="D182" s="2" t="s">
        <v>218</v>
      </c>
      <c r="E182" s="2" t="s">
        <v>606</v>
      </c>
      <c r="F182" s="2">
        <v>8.9</v>
      </c>
      <c r="G182" s="2" t="s">
        <v>840</v>
      </c>
      <c r="H182" s="2" t="s">
        <v>594</v>
      </c>
      <c r="I182" s="2" t="s">
        <v>595</v>
      </c>
      <c r="J182" s="2" t="s">
        <v>841</v>
      </c>
      <c r="K182" s="2" t="s">
        <v>5</v>
      </c>
      <c r="L182" s="2" t="s">
        <v>597</v>
      </c>
      <c r="M182" s="2" t="s">
        <v>42</v>
      </c>
      <c r="N182" s="2" t="s">
        <v>598</v>
      </c>
      <c r="O182" s="2" t="s">
        <v>599</v>
      </c>
    </row>
    <row r="183" spans="1:15" ht="42.75">
      <c r="A183" s="2" t="s">
        <v>846</v>
      </c>
      <c r="B183" s="2" t="s">
        <v>214</v>
      </c>
      <c r="C183" s="2" t="s">
        <v>584</v>
      </c>
      <c r="D183" s="2" t="s">
        <v>218</v>
      </c>
      <c r="E183" s="2" t="s">
        <v>608</v>
      </c>
      <c r="F183" s="2" t="s">
        <v>503</v>
      </c>
      <c r="G183" s="2" t="s">
        <v>840</v>
      </c>
      <c r="H183" s="2" t="s">
        <v>594</v>
      </c>
      <c r="I183" s="2" t="s">
        <v>595</v>
      </c>
      <c r="J183" s="2" t="s">
        <v>841</v>
      </c>
      <c r="K183" s="2" t="s">
        <v>5</v>
      </c>
      <c r="L183" s="2" t="s">
        <v>597</v>
      </c>
      <c r="M183" s="2" t="s">
        <v>42</v>
      </c>
      <c r="N183" s="2" t="s">
        <v>598</v>
      </c>
      <c r="O183" s="2" t="s">
        <v>599</v>
      </c>
    </row>
    <row r="184" spans="1:15" ht="42.75">
      <c r="A184" s="2" t="s">
        <v>847</v>
      </c>
      <c r="B184" s="2" t="s">
        <v>214</v>
      </c>
      <c r="C184" s="2" t="s">
        <v>584</v>
      </c>
      <c r="D184" s="2" t="s">
        <v>218</v>
      </c>
      <c r="E184" s="2" t="s">
        <v>610</v>
      </c>
      <c r="F184" s="2" t="s">
        <v>555</v>
      </c>
      <c r="G184" s="2" t="s">
        <v>840</v>
      </c>
      <c r="H184" s="2" t="s">
        <v>594</v>
      </c>
      <c r="I184" s="2" t="s">
        <v>595</v>
      </c>
      <c r="J184" s="2" t="s">
        <v>841</v>
      </c>
      <c r="K184" s="2" t="s">
        <v>5</v>
      </c>
      <c r="L184" s="2" t="s">
        <v>597</v>
      </c>
      <c r="M184" s="2" t="s">
        <v>42</v>
      </c>
      <c r="N184" s="2" t="s">
        <v>598</v>
      </c>
      <c r="O184" s="2" t="s">
        <v>599</v>
      </c>
    </row>
    <row r="185" spans="1:15" ht="42.75">
      <c r="A185" s="2" t="s">
        <v>848</v>
      </c>
      <c r="B185" s="2" t="s">
        <v>392</v>
      </c>
      <c r="C185" s="2" t="s">
        <v>584</v>
      </c>
      <c r="D185" s="2" t="s">
        <v>394</v>
      </c>
      <c r="E185" s="2" t="s">
        <v>592</v>
      </c>
      <c r="F185" s="2">
        <v>6.5</v>
      </c>
      <c r="G185" s="2" t="s">
        <v>849</v>
      </c>
      <c r="H185" s="2" t="s">
        <v>594</v>
      </c>
      <c r="I185" s="2" t="s">
        <v>613</v>
      </c>
      <c r="J185" s="2" t="s">
        <v>850</v>
      </c>
      <c r="K185" s="2" t="s">
        <v>5</v>
      </c>
      <c r="L185" s="2" t="s">
        <v>588</v>
      </c>
      <c r="M185" s="2" t="s">
        <v>42</v>
      </c>
      <c r="N185" s="2" t="s">
        <v>598</v>
      </c>
      <c r="O185" s="2" t="s">
        <v>599</v>
      </c>
    </row>
    <row r="186" spans="1:15" ht="42.75">
      <c r="A186" s="2" t="s">
        <v>851</v>
      </c>
      <c r="B186" s="2" t="s">
        <v>392</v>
      </c>
      <c r="C186" s="2" t="s">
        <v>584</v>
      </c>
      <c r="D186" s="2" t="s">
        <v>394</v>
      </c>
      <c r="E186" s="2" t="s">
        <v>498</v>
      </c>
      <c r="F186" s="2">
        <v>7.9</v>
      </c>
      <c r="G186" s="2" t="s">
        <v>849</v>
      </c>
      <c r="H186" s="2" t="s">
        <v>594</v>
      </c>
      <c r="I186" s="2" t="s">
        <v>613</v>
      </c>
      <c r="J186" s="2" t="s">
        <v>850</v>
      </c>
      <c r="K186" s="2" t="s">
        <v>5</v>
      </c>
      <c r="L186" s="2" t="s">
        <v>588</v>
      </c>
      <c r="M186" s="2" t="s">
        <v>42</v>
      </c>
      <c r="N186" s="2" t="s">
        <v>598</v>
      </c>
      <c r="O186" s="2" t="s">
        <v>599</v>
      </c>
    </row>
    <row r="187" spans="1:15" ht="42.75">
      <c r="A187" s="2" t="s">
        <v>852</v>
      </c>
      <c r="B187" s="2" t="s">
        <v>392</v>
      </c>
      <c r="C187" s="2" t="s">
        <v>584</v>
      </c>
      <c r="D187" s="2" t="s">
        <v>394</v>
      </c>
      <c r="E187" s="2" t="s">
        <v>602</v>
      </c>
      <c r="F187" s="2">
        <v>7.4</v>
      </c>
      <c r="G187" s="2" t="s">
        <v>849</v>
      </c>
      <c r="H187" s="2" t="s">
        <v>594</v>
      </c>
      <c r="I187" s="2" t="s">
        <v>613</v>
      </c>
      <c r="J187" s="2" t="s">
        <v>850</v>
      </c>
      <c r="K187" s="2" t="s">
        <v>5</v>
      </c>
      <c r="L187" s="2" t="s">
        <v>588</v>
      </c>
      <c r="M187" s="2" t="s">
        <v>42</v>
      </c>
      <c r="N187" s="2" t="s">
        <v>598</v>
      </c>
      <c r="O187" s="2" t="s">
        <v>599</v>
      </c>
    </row>
    <row r="188" spans="1:15" ht="42.75">
      <c r="A188" s="2" t="s">
        <v>853</v>
      </c>
      <c r="B188" s="2" t="s">
        <v>392</v>
      </c>
      <c r="C188" s="2" t="s">
        <v>584</v>
      </c>
      <c r="D188" s="2" t="s">
        <v>394</v>
      </c>
      <c r="E188" s="2" t="s">
        <v>604</v>
      </c>
      <c r="F188" s="2">
        <v>244.4</v>
      </c>
      <c r="G188" s="2" t="s">
        <v>849</v>
      </c>
      <c r="H188" s="2" t="s">
        <v>594</v>
      </c>
      <c r="I188" s="2" t="s">
        <v>613</v>
      </c>
      <c r="J188" s="2" t="s">
        <v>850</v>
      </c>
      <c r="K188" s="2" t="s">
        <v>5</v>
      </c>
      <c r="L188" s="2" t="s">
        <v>588</v>
      </c>
      <c r="M188" s="2" t="s">
        <v>42</v>
      </c>
      <c r="N188" s="2" t="s">
        <v>598</v>
      </c>
      <c r="O188" s="2" t="s">
        <v>599</v>
      </c>
    </row>
    <row r="189" spans="1:15" ht="42.75">
      <c r="A189" s="2" t="s">
        <v>854</v>
      </c>
      <c r="B189" s="2" t="s">
        <v>392</v>
      </c>
      <c r="C189" s="2" t="s">
        <v>584</v>
      </c>
      <c r="D189" s="2" t="s">
        <v>394</v>
      </c>
      <c r="E189" s="2" t="s">
        <v>606</v>
      </c>
      <c r="F189" s="2">
        <v>7</v>
      </c>
      <c r="G189" s="2" t="s">
        <v>849</v>
      </c>
      <c r="H189" s="2" t="s">
        <v>594</v>
      </c>
      <c r="I189" s="2" t="s">
        <v>613</v>
      </c>
      <c r="J189" s="2" t="s">
        <v>850</v>
      </c>
      <c r="K189" s="2" t="s">
        <v>5</v>
      </c>
      <c r="L189" s="2" t="s">
        <v>588</v>
      </c>
      <c r="M189" s="2" t="s">
        <v>42</v>
      </c>
      <c r="N189" s="2" t="s">
        <v>598</v>
      </c>
      <c r="O189" s="2" t="s">
        <v>599</v>
      </c>
    </row>
    <row r="190" spans="1:15" ht="42.75">
      <c r="A190" s="2" t="s">
        <v>855</v>
      </c>
      <c r="B190" s="2" t="s">
        <v>392</v>
      </c>
      <c r="C190" s="2" t="s">
        <v>584</v>
      </c>
      <c r="D190" s="2" t="s">
        <v>394</v>
      </c>
      <c r="E190" s="2" t="s">
        <v>608</v>
      </c>
      <c r="F190" s="2" t="s">
        <v>503</v>
      </c>
      <c r="G190" s="2" t="s">
        <v>849</v>
      </c>
      <c r="H190" s="2" t="s">
        <v>594</v>
      </c>
      <c r="I190" s="2" t="s">
        <v>613</v>
      </c>
      <c r="J190" s="2" t="s">
        <v>850</v>
      </c>
      <c r="K190" s="2" t="s">
        <v>5</v>
      </c>
      <c r="L190" s="2" t="s">
        <v>588</v>
      </c>
      <c r="M190" s="2" t="s">
        <v>42</v>
      </c>
      <c r="N190" s="2" t="s">
        <v>598</v>
      </c>
      <c r="O190" s="2" t="s">
        <v>599</v>
      </c>
    </row>
    <row r="191" spans="1:15" ht="42.75">
      <c r="A191" s="2" t="s">
        <v>856</v>
      </c>
      <c r="B191" s="2" t="s">
        <v>392</v>
      </c>
      <c r="C191" s="2" t="s">
        <v>584</v>
      </c>
      <c r="D191" s="2" t="s">
        <v>394</v>
      </c>
      <c r="E191" s="2" t="s">
        <v>610</v>
      </c>
      <c r="F191" s="2" t="s">
        <v>555</v>
      </c>
      <c r="G191" s="2" t="s">
        <v>849</v>
      </c>
      <c r="H191" s="2" t="s">
        <v>594</v>
      </c>
      <c r="I191" s="2" t="s">
        <v>613</v>
      </c>
      <c r="J191" s="2" t="s">
        <v>850</v>
      </c>
      <c r="K191" s="2" t="s">
        <v>5</v>
      </c>
      <c r="L191" s="2" t="s">
        <v>588</v>
      </c>
      <c r="M191" s="2" t="s">
        <v>42</v>
      </c>
      <c r="N191" s="2" t="s">
        <v>598</v>
      </c>
      <c r="O191" s="2" t="s">
        <v>599</v>
      </c>
    </row>
    <row r="192" spans="1:15" ht="42.75">
      <c r="A192" s="2" t="s">
        <v>857</v>
      </c>
      <c r="B192" s="2" t="s">
        <v>397</v>
      </c>
      <c r="C192" s="2" t="s">
        <v>584</v>
      </c>
      <c r="D192" s="2" t="s">
        <v>399</v>
      </c>
      <c r="E192" s="2" t="s">
        <v>592</v>
      </c>
      <c r="F192" s="2">
        <v>8.4</v>
      </c>
      <c r="G192" s="2" t="s">
        <v>858</v>
      </c>
      <c r="H192" s="2" t="s">
        <v>594</v>
      </c>
      <c r="I192" s="2" t="s">
        <v>707</v>
      </c>
      <c r="J192" s="2" t="s">
        <v>859</v>
      </c>
      <c r="K192" s="2" t="s">
        <v>5</v>
      </c>
      <c r="L192" s="2" t="s">
        <v>588</v>
      </c>
      <c r="M192" s="2" t="s">
        <v>42</v>
      </c>
      <c r="N192" s="2" t="s">
        <v>598</v>
      </c>
      <c r="O192" s="2" t="s">
        <v>599</v>
      </c>
    </row>
    <row r="193" spans="1:15" ht="42.75">
      <c r="A193" s="2" t="s">
        <v>860</v>
      </c>
      <c r="B193" s="2" t="s">
        <v>397</v>
      </c>
      <c r="C193" s="2" t="s">
        <v>584</v>
      </c>
      <c r="D193" s="2" t="s">
        <v>399</v>
      </c>
      <c r="E193" s="2" t="s">
        <v>498</v>
      </c>
      <c r="F193" s="2">
        <v>4.3</v>
      </c>
      <c r="G193" s="2" t="s">
        <v>858</v>
      </c>
      <c r="H193" s="2" t="s">
        <v>594</v>
      </c>
      <c r="I193" s="2" t="s">
        <v>707</v>
      </c>
      <c r="J193" s="2" t="s">
        <v>859</v>
      </c>
      <c r="K193" s="2" t="s">
        <v>5</v>
      </c>
      <c r="L193" s="2" t="s">
        <v>588</v>
      </c>
      <c r="M193" s="2" t="s">
        <v>42</v>
      </c>
      <c r="N193" s="2" t="s">
        <v>598</v>
      </c>
      <c r="O193" s="2" t="s">
        <v>599</v>
      </c>
    </row>
    <row r="194" spans="1:15" ht="42.75">
      <c r="A194" s="2" t="s">
        <v>861</v>
      </c>
      <c r="B194" s="2" t="s">
        <v>397</v>
      </c>
      <c r="C194" s="2" t="s">
        <v>584</v>
      </c>
      <c r="D194" s="2" t="s">
        <v>399</v>
      </c>
      <c r="E194" s="2" t="s">
        <v>602</v>
      </c>
      <c r="F194" s="2" t="s">
        <v>862</v>
      </c>
      <c r="G194" s="2" t="s">
        <v>858</v>
      </c>
      <c r="H194" s="2" t="s">
        <v>594</v>
      </c>
      <c r="I194" s="2" t="s">
        <v>707</v>
      </c>
      <c r="J194" s="2" t="s">
        <v>859</v>
      </c>
      <c r="K194" s="2" t="s">
        <v>5</v>
      </c>
      <c r="L194" s="2" t="s">
        <v>588</v>
      </c>
      <c r="M194" s="2" t="s">
        <v>42</v>
      </c>
      <c r="N194" s="2" t="s">
        <v>598</v>
      </c>
      <c r="O194" s="2" t="s">
        <v>599</v>
      </c>
    </row>
    <row r="195" spans="1:15" ht="42.75">
      <c r="A195" s="2" t="s">
        <v>863</v>
      </c>
      <c r="B195" s="2" t="s">
        <v>397</v>
      </c>
      <c r="C195" s="2" t="s">
        <v>584</v>
      </c>
      <c r="D195" s="2" t="s">
        <v>399</v>
      </c>
      <c r="E195" s="2" t="s">
        <v>604</v>
      </c>
      <c r="F195" s="2">
        <v>173.3</v>
      </c>
      <c r="G195" s="2" t="s">
        <v>858</v>
      </c>
      <c r="H195" s="2" t="s">
        <v>594</v>
      </c>
      <c r="I195" s="2" t="s">
        <v>707</v>
      </c>
      <c r="J195" s="2" t="s">
        <v>859</v>
      </c>
      <c r="K195" s="2" t="s">
        <v>5</v>
      </c>
      <c r="L195" s="2" t="s">
        <v>588</v>
      </c>
      <c r="M195" s="2" t="s">
        <v>42</v>
      </c>
      <c r="N195" s="2" t="s">
        <v>598</v>
      </c>
      <c r="O195" s="2" t="s">
        <v>599</v>
      </c>
    </row>
    <row r="196" spans="1:15" ht="42.75">
      <c r="A196" s="2" t="s">
        <v>864</v>
      </c>
      <c r="B196" s="2" t="s">
        <v>397</v>
      </c>
      <c r="C196" s="2" t="s">
        <v>584</v>
      </c>
      <c r="D196" s="2" t="s">
        <v>399</v>
      </c>
      <c r="E196" s="2" t="s">
        <v>606</v>
      </c>
      <c r="F196" s="2">
        <v>8.9</v>
      </c>
      <c r="G196" s="2" t="s">
        <v>858</v>
      </c>
      <c r="H196" s="2" t="s">
        <v>594</v>
      </c>
      <c r="I196" s="2" t="s">
        <v>707</v>
      </c>
      <c r="J196" s="2" t="s">
        <v>859</v>
      </c>
      <c r="K196" s="2" t="s">
        <v>5</v>
      </c>
      <c r="L196" s="2" t="s">
        <v>588</v>
      </c>
      <c r="M196" s="2" t="s">
        <v>42</v>
      </c>
      <c r="N196" s="2" t="s">
        <v>598</v>
      </c>
      <c r="O196" s="2" t="s">
        <v>599</v>
      </c>
    </row>
    <row r="197" spans="1:15" ht="42.75">
      <c r="A197" s="2" t="s">
        <v>865</v>
      </c>
      <c r="B197" s="2" t="s">
        <v>397</v>
      </c>
      <c r="C197" s="2" t="s">
        <v>584</v>
      </c>
      <c r="D197" s="2" t="s">
        <v>399</v>
      </c>
      <c r="E197" s="2" t="s">
        <v>608</v>
      </c>
      <c r="F197" s="2" t="s">
        <v>503</v>
      </c>
      <c r="G197" s="2" t="s">
        <v>858</v>
      </c>
      <c r="H197" s="2" t="s">
        <v>594</v>
      </c>
      <c r="I197" s="2" t="s">
        <v>707</v>
      </c>
      <c r="J197" s="2" t="s">
        <v>859</v>
      </c>
      <c r="K197" s="2" t="s">
        <v>5</v>
      </c>
      <c r="L197" s="2" t="s">
        <v>588</v>
      </c>
      <c r="M197" s="2" t="s">
        <v>42</v>
      </c>
      <c r="N197" s="2" t="s">
        <v>598</v>
      </c>
      <c r="O197" s="2" t="s">
        <v>599</v>
      </c>
    </row>
    <row r="198" spans="1:15" ht="42.75">
      <c r="A198" s="2" t="s">
        <v>866</v>
      </c>
      <c r="B198" s="2" t="s">
        <v>397</v>
      </c>
      <c r="C198" s="2" t="s">
        <v>584</v>
      </c>
      <c r="D198" s="2" t="s">
        <v>399</v>
      </c>
      <c r="E198" s="2" t="s">
        <v>610</v>
      </c>
      <c r="F198" s="2" t="s">
        <v>621</v>
      </c>
      <c r="G198" s="2" t="s">
        <v>858</v>
      </c>
      <c r="H198" s="2" t="s">
        <v>594</v>
      </c>
      <c r="I198" s="2" t="s">
        <v>707</v>
      </c>
      <c r="J198" s="2" t="s">
        <v>859</v>
      </c>
      <c r="K198" s="2" t="s">
        <v>5</v>
      </c>
      <c r="L198" s="2" t="s">
        <v>588</v>
      </c>
      <c r="M198" s="2" t="s">
        <v>42</v>
      </c>
      <c r="N198" s="2" t="s">
        <v>598</v>
      </c>
      <c r="O198" s="2" t="s">
        <v>599</v>
      </c>
    </row>
    <row r="199" spans="1:15" ht="42.75">
      <c r="A199" s="2" t="s">
        <v>867</v>
      </c>
      <c r="B199" s="2" t="s">
        <v>335</v>
      </c>
      <c r="C199" s="2" t="s">
        <v>584</v>
      </c>
      <c r="D199" s="2" t="s">
        <v>337</v>
      </c>
      <c r="E199" s="2" t="s">
        <v>592</v>
      </c>
      <c r="F199" s="2">
        <v>7.3</v>
      </c>
      <c r="G199" s="2" t="s">
        <v>868</v>
      </c>
      <c r="H199" s="2" t="s">
        <v>594</v>
      </c>
      <c r="I199" s="2" t="s">
        <v>595</v>
      </c>
      <c r="J199" s="2" t="s">
        <v>869</v>
      </c>
      <c r="K199" s="2" t="s">
        <v>5</v>
      </c>
      <c r="L199" s="2" t="s">
        <v>597</v>
      </c>
      <c r="M199" s="2" t="s">
        <v>42</v>
      </c>
      <c r="N199" s="2" t="s">
        <v>598</v>
      </c>
      <c r="O199" s="2" t="s">
        <v>599</v>
      </c>
    </row>
    <row r="200" spans="1:15" ht="42.75">
      <c r="A200" s="2" t="s">
        <v>870</v>
      </c>
      <c r="B200" s="2" t="s">
        <v>335</v>
      </c>
      <c r="C200" s="2" t="s">
        <v>584</v>
      </c>
      <c r="D200" s="2" t="s">
        <v>337</v>
      </c>
      <c r="E200" s="2" t="s">
        <v>498</v>
      </c>
      <c r="F200" s="2">
        <v>7.7</v>
      </c>
      <c r="G200" s="2" t="s">
        <v>868</v>
      </c>
      <c r="H200" s="2" t="s">
        <v>594</v>
      </c>
      <c r="I200" s="2" t="s">
        <v>595</v>
      </c>
      <c r="J200" s="2" t="s">
        <v>869</v>
      </c>
      <c r="K200" s="2" t="s">
        <v>5</v>
      </c>
      <c r="L200" s="2" t="s">
        <v>597</v>
      </c>
      <c r="M200" s="2" t="s">
        <v>42</v>
      </c>
      <c r="N200" s="2" t="s">
        <v>598</v>
      </c>
      <c r="O200" s="2" t="s">
        <v>599</v>
      </c>
    </row>
    <row r="201" spans="1:15" ht="42.75">
      <c r="A201" s="2" t="s">
        <v>871</v>
      </c>
      <c r="B201" s="2" t="s">
        <v>335</v>
      </c>
      <c r="C201" s="2" t="s">
        <v>584</v>
      </c>
      <c r="D201" s="2" t="s">
        <v>337</v>
      </c>
      <c r="E201" s="2" t="s">
        <v>602</v>
      </c>
      <c r="F201" s="2">
        <v>8.1999999999999993</v>
      </c>
      <c r="G201" s="2" t="s">
        <v>868</v>
      </c>
      <c r="H201" s="2" t="s">
        <v>594</v>
      </c>
      <c r="I201" s="2" t="s">
        <v>595</v>
      </c>
      <c r="J201" s="2" t="s">
        <v>869</v>
      </c>
      <c r="K201" s="2" t="s">
        <v>5</v>
      </c>
      <c r="L201" s="2" t="s">
        <v>597</v>
      </c>
      <c r="M201" s="2" t="s">
        <v>42</v>
      </c>
      <c r="N201" s="2" t="s">
        <v>598</v>
      </c>
      <c r="O201" s="2" t="s">
        <v>599</v>
      </c>
    </row>
    <row r="202" spans="1:15" ht="42.75">
      <c r="A202" s="2" t="s">
        <v>872</v>
      </c>
      <c r="B202" s="2" t="s">
        <v>335</v>
      </c>
      <c r="C202" s="2" t="s">
        <v>584</v>
      </c>
      <c r="D202" s="2" t="s">
        <v>337</v>
      </c>
      <c r="E202" s="2" t="s">
        <v>604</v>
      </c>
      <c r="F202" s="2">
        <v>212.4</v>
      </c>
      <c r="G202" s="2" t="s">
        <v>868</v>
      </c>
      <c r="H202" s="2" t="s">
        <v>594</v>
      </c>
      <c r="I202" s="2" t="s">
        <v>595</v>
      </c>
      <c r="J202" s="2" t="s">
        <v>869</v>
      </c>
      <c r="K202" s="2" t="s">
        <v>5</v>
      </c>
      <c r="L202" s="2" t="s">
        <v>597</v>
      </c>
      <c r="M202" s="2" t="s">
        <v>42</v>
      </c>
      <c r="N202" s="2" t="s">
        <v>598</v>
      </c>
      <c r="O202" s="2" t="s">
        <v>599</v>
      </c>
    </row>
    <row r="203" spans="1:15" ht="42.75">
      <c r="A203" s="2" t="s">
        <v>873</v>
      </c>
      <c r="B203" s="2" t="s">
        <v>335</v>
      </c>
      <c r="C203" s="2" t="s">
        <v>584</v>
      </c>
      <c r="D203" s="2" t="s">
        <v>337</v>
      </c>
      <c r="E203" s="2" t="s">
        <v>606</v>
      </c>
      <c r="F203" s="2">
        <v>10.1</v>
      </c>
      <c r="G203" s="2" t="s">
        <v>868</v>
      </c>
      <c r="H203" s="2" t="s">
        <v>594</v>
      </c>
      <c r="I203" s="2" t="s">
        <v>595</v>
      </c>
      <c r="J203" s="2" t="s">
        <v>869</v>
      </c>
      <c r="K203" s="2" t="s">
        <v>5</v>
      </c>
      <c r="L203" s="2" t="s">
        <v>597</v>
      </c>
      <c r="M203" s="2" t="s">
        <v>42</v>
      </c>
      <c r="N203" s="2" t="s">
        <v>598</v>
      </c>
      <c r="O203" s="2" t="s">
        <v>599</v>
      </c>
    </row>
    <row r="204" spans="1:15" ht="42.75">
      <c r="A204" s="2" t="s">
        <v>874</v>
      </c>
      <c r="B204" s="2" t="s">
        <v>335</v>
      </c>
      <c r="C204" s="2" t="s">
        <v>584</v>
      </c>
      <c r="D204" s="2" t="s">
        <v>337</v>
      </c>
      <c r="E204" s="2" t="s">
        <v>608</v>
      </c>
      <c r="F204" s="2" t="s">
        <v>503</v>
      </c>
      <c r="G204" s="2" t="s">
        <v>868</v>
      </c>
      <c r="H204" s="2" t="s">
        <v>594</v>
      </c>
      <c r="I204" s="2" t="s">
        <v>595</v>
      </c>
      <c r="J204" s="2" t="s">
        <v>869</v>
      </c>
      <c r="K204" s="2" t="s">
        <v>5</v>
      </c>
      <c r="L204" s="2" t="s">
        <v>597</v>
      </c>
      <c r="M204" s="2" t="s">
        <v>42</v>
      </c>
      <c r="N204" s="2" t="s">
        <v>598</v>
      </c>
      <c r="O204" s="2" t="s">
        <v>599</v>
      </c>
    </row>
    <row r="205" spans="1:15" ht="42.75">
      <c r="A205" s="2" t="s">
        <v>875</v>
      </c>
      <c r="B205" s="2" t="s">
        <v>335</v>
      </c>
      <c r="C205" s="2" t="s">
        <v>584</v>
      </c>
      <c r="D205" s="2" t="s">
        <v>337</v>
      </c>
      <c r="E205" s="2" t="s">
        <v>610</v>
      </c>
      <c r="F205" s="2" t="s">
        <v>621</v>
      </c>
      <c r="G205" s="2" t="s">
        <v>868</v>
      </c>
      <c r="H205" s="2" t="s">
        <v>594</v>
      </c>
      <c r="I205" s="2" t="s">
        <v>595</v>
      </c>
      <c r="J205" s="2" t="s">
        <v>869</v>
      </c>
      <c r="K205" s="2" t="s">
        <v>5</v>
      </c>
      <c r="L205" s="2" t="s">
        <v>597</v>
      </c>
      <c r="M205" s="2" t="s">
        <v>42</v>
      </c>
      <c r="N205" s="2" t="s">
        <v>598</v>
      </c>
      <c r="O205" s="2" t="s">
        <v>599</v>
      </c>
    </row>
    <row r="206" spans="1:15" ht="42.75">
      <c r="A206" s="2" t="s">
        <v>876</v>
      </c>
      <c r="B206" s="2" t="s">
        <v>176</v>
      </c>
      <c r="C206" s="2" t="s">
        <v>584</v>
      </c>
      <c r="D206" s="2" t="s">
        <v>179</v>
      </c>
      <c r="E206" s="2" t="s">
        <v>592</v>
      </c>
      <c r="F206" s="2">
        <v>8</v>
      </c>
      <c r="G206" s="2" t="s">
        <v>877</v>
      </c>
      <c r="H206" s="2" t="s">
        <v>594</v>
      </c>
      <c r="I206" s="2" t="s">
        <v>595</v>
      </c>
      <c r="J206" s="2" t="s">
        <v>878</v>
      </c>
      <c r="K206" s="2" t="s">
        <v>5</v>
      </c>
      <c r="L206" s="2" t="s">
        <v>597</v>
      </c>
      <c r="M206" s="2" t="s">
        <v>42</v>
      </c>
      <c r="N206" s="2" t="s">
        <v>598</v>
      </c>
      <c r="O206" s="2" t="s">
        <v>599</v>
      </c>
    </row>
    <row r="207" spans="1:15" ht="42.75">
      <c r="A207" s="2" t="s">
        <v>879</v>
      </c>
      <c r="B207" s="2" t="s">
        <v>176</v>
      </c>
      <c r="C207" s="2" t="s">
        <v>584</v>
      </c>
      <c r="D207" s="2" t="s">
        <v>179</v>
      </c>
      <c r="E207" s="2" t="s">
        <v>498</v>
      </c>
      <c r="F207" s="2">
        <v>5.5</v>
      </c>
      <c r="G207" s="2" t="s">
        <v>877</v>
      </c>
      <c r="H207" s="2" t="s">
        <v>594</v>
      </c>
      <c r="I207" s="2" t="s">
        <v>595</v>
      </c>
      <c r="J207" s="2" t="s">
        <v>878</v>
      </c>
      <c r="K207" s="2" t="s">
        <v>5</v>
      </c>
      <c r="L207" s="2" t="s">
        <v>597</v>
      </c>
      <c r="M207" s="2" t="s">
        <v>42</v>
      </c>
      <c r="N207" s="2" t="s">
        <v>598</v>
      </c>
      <c r="O207" s="2" t="s">
        <v>599</v>
      </c>
    </row>
    <row r="208" spans="1:15" ht="42.75">
      <c r="A208" s="2" t="s">
        <v>880</v>
      </c>
      <c r="B208" s="2" t="s">
        <v>176</v>
      </c>
      <c r="C208" s="2" t="s">
        <v>584</v>
      </c>
      <c r="D208" s="2" t="s">
        <v>179</v>
      </c>
      <c r="E208" s="2" t="s">
        <v>602</v>
      </c>
      <c r="F208" s="2">
        <v>8.4</v>
      </c>
      <c r="G208" s="2" t="s">
        <v>877</v>
      </c>
      <c r="H208" s="2" t="s">
        <v>594</v>
      </c>
      <c r="I208" s="2" t="s">
        <v>595</v>
      </c>
      <c r="J208" s="2" t="s">
        <v>878</v>
      </c>
      <c r="K208" s="2" t="s">
        <v>5</v>
      </c>
      <c r="L208" s="2" t="s">
        <v>597</v>
      </c>
      <c r="M208" s="2" t="s">
        <v>42</v>
      </c>
      <c r="N208" s="2" t="s">
        <v>598</v>
      </c>
      <c r="O208" s="2" t="s">
        <v>599</v>
      </c>
    </row>
    <row r="209" spans="1:15" ht="42.75">
      <c r="A209" s="2" t="s">
        <v>881</v>
      </c>
      <c r="B209" s="2" t="s">
        <v>176</v>
      </c>
      <c r="C209" s="2" t="s">
        <v>584</v>
      </c>
      <c r="D209" s="2" t="s">
        <v>179</v>
      </c>
      <c r="E209" s="2" t="s">
        <v>604</v>
      </c>
      <c r="F209" s="2">
        <v>197.5</v>
      </c>
      <c r="G209" s="2" t="s">
        <v>877</v>
      </c>
      <c r="H209" s="2" t="s">
        <v>594</v>
      </c>
      <c r="I209" s="2" t="s">
        <v>595</v>
      </c>
      <c r="J209" s="2" t="s">
        <v>878</v>
      </c>
      <c r="K209" s="2" t="s">
        <v>5</v>
      </c>
      <c r="L209" s="2" t="s">
        <v>597</v>
      </c>
      <c r="M209" s="2" t="s">
        <v>42</v>
      </c>
      <c r="N209" s="2" t="s">
        <v>598</v>
      </c>
      <c r="O209" s="2" t="s">
        <v>599</v>
      </c>
    </row>
    <row r="210" spans="1:15" ht="42.75">
      <c r="A210" s="2" t="s">
        <v>882</v>
      </c>
      <c r="B210" s="2" t="s">
        <v>176</v>
      </c>
      <c r="C210" s="2" t="s">
        <v>584</v>
      </c>
      <c r="D210" s="2" t="s">
        <v>179</v>
      </c>
      <c r="E210" s="2" t="s">
        <v>606</v>
      </c>
      <c r="F210" s="2">
        <v>7</v>
      </c>
      <c r="G210" s="2" t="s">
        <v>877</v>
      </c>
      <c r="H210" s="2" t="s">
        <v>594</v>
      </c>
      <c r="I210" s="2" t="s">
        <v>595</v>
      </c>
      <c r="J210" s="2" t="s">
        <v>878</v>
      </c>
      <c r="K210" s="2" t="s">
        <v>5</v>
      </c>
      <c r="L210" s="2" t="s">
        <v>597</v>
      </c>
      <c r="M210" s="2" t="s">
        <v>42</v>
      </c>
      <c r="N210" s="2" t="s">
        <v>598</v>
      </c>
      <c r="O210" s="2" t="s">
        <v>599</v>
      </c>
    </row>
    <row r="211" spans="1:15" ht="42.75">
      <c r="A211" s="2" t="s">
        <v>883</v>
      </c>
      <c r="B211" s="2" t="s">
        <v>176</v>
      </c>
      <c r="C211" s="2" t="s">
        <v>584</v>
      </c>
      <c r="D211" s="2" t="s">
        <v>179</v>
      </c>
      <c r="E211" s="2" t="s">
        <v>608</v>
      </c>
      <c r="F211" s="2" t="s">
        <v>503</v>
      </c>
      <c r="G211" s="2" t="s">
        <v>877</v>
      </c>
      <c r="H211" s="2" t="s">
        <v>594</v>
      </c>
      <c r="I211" s="2" t="s">
        <v>595</v>
      </c>
      <c r="J211" s="2" t="s">
        <v>878</v>
      </c>
      <c r="K211" s="2" t="s">
        <v>5</v>
      </c>
      <c r="L211" s="2" t="s">
        <v>597</v>
      </c>
      <c r="M211" s="2" t="s">
        <v>42</v>
      </c>
      <c r="N211" s="2" t="s">
        <v>598</v>
      </c>
      <c r="O211" s="2" t="s">
        <v>599</v>
      </c>
    </row>
    <row r="212" spans="1:15" ht="42.75">
      <c r="A212" s="2" t="s">
        <v>884</v>
      </c>
      <c r="B212" s="2" t="s">
        <v>176</v>
      </c>
      <c r="C212" s="2" t="s">
        <v>584</v>
      </c>
      <c r="D212" s="2" t="s">
        <v>179</v>
      </c>
      <c r="E212" s="2" t="s">
        <v>610</v>
      </c>
      <c r="F212" s="2" t="s">
        <v>621</v>
      </c>
      <c r="G212" s="2" t="s">
        <v>877</v>
      </c>
      <c r="H212" s="2" t="s">
        <v>594</v>
      </c>
      <c r="I212" s="2" t="s">
        <v>595</v>
      </c>
      <c r="J212" s="2" t="s">
        <v>878</v>
      </c>
      <c r="K212" s="2" t="s">
        <v>5</v>
      </c>
      <c r="L212" s="2" t="s">
        <v>597</v>
      </c>
      <c r="M212" s="2" t="s">
        <v>42</v>
      </c>
      <c r="N212" s="2" t="s">
        <v>598</v>
      </c>
      <c r="O212" s="2" t="s">
        <v>599</v>
      </c>
    </row>
    <row r="213" spans="1:15" ht="42.75">
      <c r="A213" s="2" t="s">
        <v>885</v>
      </c>
      <c r="B213" s="2" t="s">
        <v>365</v>
      </c>
      <c r="C213" s="2" t="s">
        <v>584</v>
      </c>
      <c r="D213" s="2" t="s">
        <v>367</v>
      </c>
      <c r="E213" s="2" t="s">
        <v>886</v>
      </c>
      <c r="F213" s="2" t="s">
        <v>887</v>
      </c>
      <c r="G213" s="2" t="s">
        <v>496</v>
      </c>
      <c r="H213" s="2" t="s">
        <v>888</v>
      </c>
      <c r="I213" s="2" t="s">
        <v>889</v>
      </c>
      <c r="J213" s="2" t="s">
        <v>890</v>
      </c>
      <c r="K213" s="2"/>
      <c r="L213" s="2" t="s">
        <v>635</v>
      </c>
      <c r="M213" s="2" t="s">
        <v>891</v>
      </c>
      <c r="N213" s="2" t="s">
        <v>892</v>
      </c>
      <c r="O213" s="2" t="s">
        <v>893</v>
      </c>
    </row>
    <row r="214" spans="1:15" ht="42.75">
      <c r="A214" s="2" t="s">
        <v>894</v>
      </c>
      <c r="B214" s="2" t="s">
        <v>371</v>
      </c>
      <c r="C214" s="2" t="s">
        <v>584</v>
      </c>
      <c r="D214" s="2" t="s">
        <v>375</v>
      </c>
      <c r="E214" s="2" t="s">
        <v>886</v>
      </c>
      <c r="F214" s="2" t="s">
        <v>895</v>
      </c>
      <c r="G214" s="2" t="s">
        <v>496</v>
      </c>
      <c r="H214" s="2" t="s">
        <v>888</v>
      </c>
      <c r="I214" s="2" t="s">
        <v>896</v>
      </c>
      <c r="J214" s="2" t="s">
        <v>897</v>
      </c>
      <c r="K214" s="2"/>
      <c r="L214" s="2" t="s">
        <v>635</v>
      </c>
      <c r="M214" s="2" t="s">
        <v>891</v>
      </c>
      <c r="N214" s="2" t="s">
        <v>892</v>
      </c>
      <c r="O214" s="2" t="s">
        <v>893</v>
      </c>
    </row>
    <row r="215" spans="1:15" ht="28.5">
      <c r="A215" s="2" t="s">
        <v>898</v>
      </c>
      <c r="B215" s="2" t="s">
        <v>371</v>
      </c>
      <c r="C215" s="2" t="s">
        <v>584</v>
      </c>
      <c r="D215" s="2" t="s">
        <v>375</v>
      </c>
      <c r="E215" s="2" t="s">
        <v>886</v>
      </c>
      <c r="F215" s="2" t="s">
        <v>899</v>
      </c>
      <c r="G215" s="2" t="s">
        <v>900</v>
      </c>
      <c r="H215" s="2" t="s">
        <v>888</v>
      </c>
      <c r="I215" s="2" t="s">
        <v>901</v>
      </c>
      <c r="J215" s="2" t="s">
        <v>902</v>
      </c>
      <c r="K215" s="2"/>
      <c r="L215" s="2" t="s">
        <v>635</v>
      </c>
      <c r="M215" s="2" t="s">
        <v>891</v>
      </c>
      <c r="N215" s="2" t="s">
        <v>892</v>
      </c>
      <c r="O215" s="2" t="s">
        <v>893</v>
      </c>
    </row>
    <row r="216" spans="1:15" ht="42.75">
      <c r="A216" s="2" t="s">
        <v>903</v>
      </c>
      <c r="B216" s="2" t="s">
        <v>371</v>
      </c>
      <c r="C216" s="2" t="s">
        <v>584</v>
      </c>
      <c r="D216" s="2" t="s">
        <v>375</v>
      </c>
      <c r="E216" s="2" t="s">
        <v>886</v>
      </c>
      <c r="F216" s="2" t="s">
        <v>904</v>
      </c>
      <c r="G216" s="2" t="s">
        <v>905</v>
      </c>
      <c r="H216" s="2" t="s">
        <v>888</v>
      </c>
      <c r="I216" s="2" t="s">
        <v>901</v>
      </c>
      <c r="J216" s="2" t="s">
        <v>906</v>
      </c>
      <c r="K216" s="2"/>
      <c r="L216" s="2" t="s">
        <v>635</v>
      </c>
      <c r="M216" s="2" t="s">
        <v>891</v>
      </c>
      <c r="N216" s="2" t="s">
        <v>892</v>
      </c>
      <c r="O216" s="2" t="s">
        <v>893</v>
      </c>
    </row>
    <row r="217" spans="1:15" ht="42.75">
      <c r="A217" s="2" t="s">
        <v>907</v>
      </c>
      <c r="B217" s="2" t="s">
        <v>371</v>
      </c>
      <c r="C217" s="2" t="s">
        <v>584</v>
      </c>
      <c r="D217" s="2" t="s">
        <v>375</v>
      </c>
      <c r="E217" s="2" t="s">
        <v>886</v>
      </c>
      <c r="F217" s="2" t="s">
        <v>908</v>
      </c>
      <c r="G217" s="2" t="s">
        <v>496</v>
      </c>
      <c r="H217" s="2" t="s">
        <v>888</v>
      </c>
      <c r="I217" s="2" t="s">
        <v>901</v>
      </c>
      <c r="J217" s="2" t="s">
        <v>909</v>
      </c>
      <c r="K217" s="2"/>
      <c r="L217" s="2" t="s">
        <v>635</v>
      </c>
      <c r="M217" s="2" t="s">
        <v>891</v>
      </c>
      <c r="N217" s="2" t="s">
        <v>892</v>
      </c>
      <c r="O217" s="2" t="s">
        <v>893</v>
      </c>
    </row>
    <row r="218" spans="1:15" ht="28.5">
      <c r="A218" s="2" t="s">
        <v>910</v>
      </c>
      <c r="B218" s="2" t="s">
        <v>371</v>
      </c>
      <c r="C218" s="2" t="s">
        <v>584</v>
      </c>
      <c r="D218" s="2" t="s">
        <v>375</v>
      </c>
      <c r="E218" s="2" t="s">
        <v>886</v>
      </c>
      <c r="F218" s="2" t="s">
        <v>911</v>
      </c>
      <c r="G218" s="2" t="s">
        <v>496</v>
      </c>
      <c r="H218" s="2" t="s">
        <v>888</v>
      </c>
      <c r="I218" s="2" t="s">
        <v>912</v>
      </c>
      <c r="J218" s="2" t="s">
        <v>913</v>
      </c>
      <c r="K218" s="2"/>
      <c r="L218" s="2" t="s">
        <v>635</v>
      </c>
      <c r="M218" s="2" t="s">
        <v>891</v>
      </c>
      <c r="N218" s="2" t="s">
        <v>892</v>
      </c>
      <c r="O218" s="2" t="s">
        <v>893</v>
      </c>
    </row>
    <row r="219" spans="1:15" ht="42.75">
      <c r="A219" s="2" t="s">
        <v>914</v>
      </c>
      <c r="B219" s="2" t="s">
        <v>379</v>
      </c>
      <c r="C219" s="2" t="s">
        <v>584</v>
      </c>
      <c r="D219" s="2" t="s">
        <v>381</v>
      </c>
      <c r="E219" s="2" t="s">
        <v>886</v>
      </c>
      <c r="F219" s="2" t="s">
        <v>915</v>
      </c>
      <c r="G219" s="2" t="s">
        <v>916</v>
      </c>
      <c r="H219" s="2" t="s">
        <v>888</v>
      </c>
      <c r="I219" s="2" t="s">
        <v>896</v>
      </c>
      <c r="J219" s="2" t="s">
        <v>917</v>
      </c>
      <c r="K219" s="2"/>
      <c r="L219" s="2" t="s">
        <v>635</v>
      </c>
      <c r="M219" s="2" t="s">
        <v>891</v>
      </c>
      <c r="N219" s="2" t="s">
        <v>892</v>
      </c>
      <c r="O219" s="2" t="s">
        <v>893</v>
      </c>
    </row>
    <row r="220" spans="1:15" ht="42.75">
      <c r="A220" s="2" t="s">
        <v>918</v>
      </c>
      <c r="B220" s="2" t="s">
        <v>379</v>
      </c>
      <c r="C220" s="2" t="s">
        <v>584</v>
      </c>
      <c r="D220" s="2" t="s">
        <v>381</v>
      </c>
      <c r="E220" s="2" t="s">
        <v>886</v>
      </c>
      <c r="F220" s="2" t="s">
        <v>919</v>
      </c>
      <c r="G220" s="2" t="s">
        <v>920</v>
      </c>
      <c r="H220" s="2" t="s">
        <v>888</v>
      </c>
      <c r="I220" s="2" t="s">
        <v>901</v>
      </c>
      <c r="J220" s="2" t="s">
        <v>921</v>
      </c>
      <c r="K220" s="2"/>
      <c r="L220" s="2" t="s">
        <v>635</v>
      </c>
      <c r="M220" s="2" t="s">
        <v>891</v>
      </c>
      <c r="N220" s="2" t="s">
        <v>892</v>
      </c>
      <c r="O220" s="2" t="s">
        <v>893</v>
      </c>
    </row>
    <row r="221" spans="1:15" ht="42.75">
      <c r="A221" s="2" t="s">
        <v>922</v>
      </c>
      <c r="B221" s="2" t="s">
        <v>379</v>
      </c>
      <c r="C221" s="2" t="s">
        <v>584</v>
      </c>
      <c r="D221" s="2" t="s">
        <v>381</v>
      </c>
      <c r="E221" s="2" t="s">
        <v>886</v>
      </c>
      <c r="F221" s="2" t="s">
        <v>923</v>
      </c>
      <c r="G221" s="2" t="s">
        <v>496</v>
      </c>
      <c r="H221" s="2" t="s">
        <v>888</v>
      </c>
      <c r="I221" s="2" t="s">
        <v>901</v>
      </c>
      <c r="J221" s="2" t="s">
        <v>924</v>
      </c>
      <c r="K221" s="2"/>
      <c r="L221" s="2" t="s">
        <v>635</v>
      </c>
      <c r="M221" s="2" t="s">
        <v>891</v>
      </c>
      <c r="N221" s="2" t="s">
        <v>892</v>
      </c>
      <c r="O221" s="2" t="s">
        <v>893</v>
      </c>
    </row>
    <row r="222" spans="1:15" ht="28.5">
      <c r="A222" s="2" t="s">
        <v>925</v>
      </c>
      <c r="B222" s="2" t="s">
        <v>379</v>
      </c>
      <c r="C222" s="2" t="s">
        <v>584</v>
      </c>
      <c r="D222" s="2" t="s">
        <v>381</v>
      </c>
      <c r="E222" s="2" t="s">
        <v>886</v>
      </c>
      <c r="F222" s="2" t="s">
        <v>926</v>
      </c>
      <c r="G222" s="2" t="s">
        <v>920</v>
      </c>
      <c r="H222" s="2" t="s">
        <v>888</v>
      </c>
      <c r="I222" s="2" t="s">
        <v>901</v>
      </c>
      <c r="J222" s="2" t="s">
        <v>927</v>
      </c>
      <c r="K222" s="2"/>
      <c r="L222" s="2" t="s">
        <v>635</v>
      </c>
      <c r="M222" s="2" t="s">
        <v>891</v>
      </c>
      <c r="N222" s="2" t="s">
        <v>892</v>
      </c>
      <c r="O222" s="2" t="s">
        <v>893</v>
      </c>
    </row>
    <row r="223" spans="1:15" ht="171">
      <c r="A223" s="2" t="s">
        <v>928</v>
      </c>
      <c r="B223" s="2" t="s">
        <v>385</v>
      </c>
      <c r="C223" s="2" t="s">
        <v>584</v>
      </c>
      <c r="D223" s="2" t="s">
        <v>388</v>
      </c>
      <c r="E223" s="2" t="s">
        <v>886</v>
      </c>
      <c r="F223" s="2" t="s">
        <v>929</v>
      </c>
      <c r="G223" s="2" t="s">
        <v>916</v>
      </c>
      <c r="H223" s="2" t="s">
        <v>888</v>
      </c>
      <c r="I223" s="2" t="s">
        <v>896</v>
      </c>
      <c r="J223" s="2" t="s">
        <v>930</v>
      </c>
      <c r="K223" s="2"/>
      <c r="L223" s="2" t="s">
        <v>635</v>
      </c>
      <c r="M223" s="2" t="s">
        <v>891</v>
      </c>
      <c r="N223" s="2" t="s">
        <v>892</v>
      </c>
      <c r="O223" s="2" t="s">
        <v>893</v>
      </c>
    </row>
    <row r="224" spans="1:15" ht="299.25">
      <c r="A224" s="2" t="s">
        <v>931</v>
      </c>
      <c r="B224" s="2" t="s">
        <v>385</v>
      </c>
      <c r="C224" s="2" t="s">
        <v>584</v>
      </c>
      <c r="D224" s="2" t="s">
        <v>388</v>
      </c>
      <c r="E224" s="2" t="s">
        <v>886</v>
      </c>
      <c r="F224" s="2" t="s">
        <v>932</v>
      </c>
      <c r="G224" s="2" t="s">
        <v>933</v>
      </c>
      <c r="H224" s="2" t="s">
        <v>888</v>
      </c>
      <c r="I224" s="2" t="s">
        <v>901</v>
      </c>
      <c r="J224" s="2" t="s">
        <v>934</v>
      </c>
      <c r="K224" s="2"/>
      <c r="L224" s="2" t="s">
        <v>635</v>
      </c>
      <c r="M224" s="2" t="s">
        <v>891</v>
      </c>
      <c r="N224" s="2" t="s">
        <v>892</v>
      </c>
      <c r="O224" s="2" t="s">
        <v>893</v>
      </c>
    </row>
    <row r="225" spans="1:15" ht="99.75">
      <c r="A225" s="2" t="s">
        <v>935</v>
      </c>
      <c r="B225" s="2" t="s">
        <v>392</v>
      </c>
      <c r="C225" s="2" t="s">
        <v>584</v>
      </c>
      <c r="D225" s="2" t="s">
        <v>394</v>
      </c>
      <c r="E225" s="2" t="s">
        <v>886</v>
      </c>
      <c r="F225" s="2" t="s">
        <v>936</v>
      </c>
      <c r="G225" s="2" t="s">
        <v>916</v>
      </c>
      <c r="H225" s="2" t="s">
        <v>888</v>
      </c>
      <c r="I225" s="2" t="s">
        <v>901</v>
      </c>
      <c r="J225" s="2" t="s">
        <v>937</v>
      </c>
      <c r="K225" s="2"/>
      <c r="L225" s="2" t="s">
        <v>635</v>
      </c>
      <c r="M225" s="2" t="s">
        <v>891</v>
      </c>
      <c r="N225" s="2" t="s">
        <v>892</v>
      </c>
      <c r="O225" s="2" t="s">
        <v>893</v>
      </c>
    </row>
    <row r="226" spans="1:15" ht="85.5">
      <c r="A226" s="2" t="s">
        <v>938</v>
      </c>
      <c r="B226" s="2" t="s">
        <v>392</v>
      </c>
      <c r="C226" s="2" t="s">
        <v>584</v>
      </c>
      <c r="D226" s="2" t="s">
        <v>394</v>
      </c>
      <c r="E226" s="2" t="s">
        <v>886</v>
      </c>
      <c r="F226" s="2" t="s">
        <v>939</v>
      </c>
      <c r="G226" s="2" t="s">
        <v>940</v>
      </c>
      <c r="H226" s="2" t="s">
        <v>888</v>
      </c>
      <c r="I226" s="2" t="s">
        <v>901</v>
      </c>
      <c r="J226" s="2" t="s">
        <v>941</v>
      </c>
      <c r="K226" s="2"/>
      <c r="L226" s="2" t="s">
        <v>635</v>
      </c>
      <c r="M226" s="2" t="s">
        <v>891</v>
      </c>
      <c r="N226" s="2" t="s">
        <v>892</v>
      </c>
      <c r="O226" s="2" t="s">
        <v>893</v>
      </c>
    </row>
    <row r="227" spans="1:15" ht="28.5">
      <c r="A227" s="2" t="s">
        <v>942</v>
      </c>
      <c r="B227" s="2" t="s">
        <v>397</v>
      </c>
      <c r="C227" s="2" t="s">
        <v>584</v>
      </c>
      <c r="D227" s="2" t="s">
        <v>399</v>
      </c>
      <c r="E227" s="2" t="s">
        <v>886</v>
      </c>
      <c r="F227" s="2" t="s">
        <v>943</v>
      </c>
      <c r="G227" s="2" t="s">
        <v>944</v>
      </c>
      <c r="H227" s="2" t="s">
        <v>888</v>
      </c>
      <c r="I227" s="2" t="s">
        <v>945</v>
      </c>
      <c r="J227" s="2" t="s">
        <v>946</v>
      </c>
      <c r="K227" s="2"/>
      <c r="L227" s="2" t="s">
        <v>635</v>
      </c>
      <c r="M227" s="2" t="s">
        <v>891</v>
      </c>
      <c r="N227" s="2" t="s">
        <v>892</v>
      </c>
      <c r="O227" s="2" t="s">
        <v>893</v>
      </c>
    </row>
    <row r="228" spans="1:15" ht="71.25">
      <c r="A228" s="2" t="s">
        <v>947</v>
      </c>
      <c r="B228" s="2" t="s">
        <v>397</v>
      </c>
      <c r="C228" s="2" t="s">
        <v>584</v>
      </c>
      <c r="D228" s="2" t="s">
        <v>399</v>
      </c>
      <c r="E228" s="2" t="s">
        <v>886</v>
      </c>
      <c r="F228" s="2" t="s">
        <v>948</v>
      </c>
      <c r="G228" s="2" t="s">
        <v>949</v>
      </c>
      <c r="H228" s="2" t="s">
        <v>888</v>
      </c>
      <c r="I228" s="2" t="s">
        <v>901</v>
      </c>
      <c r="J228" s="2" t="s">
        <v>950</v>
      </c>
      <c r="K228" s="2"/>
      <c r="L228" s="2" t="s">
        <v>635</v>
      </c>
      <c r="M228" s="2" t="s">
        <v>891</v>
      </c>
      <c r="N228" s="2" t="s">
        <v>892</v>
      </c>
      <c r="O228" s="2" t="s">
        <v>893</v>
      </c>
    </row>
    <row r="229" spans="1:15" ht="57">
      <c r="A229" s="2" t="s">
        <v>951</v>
      </c>
      <c r="B229" s="2" t="s">
        <v>397</v>
      </c>
      <c r="C229" s="2" t="s">
        <v>584</v>
      </c>
      <c r="D229" s="2" t="s">
        <v>399</v>
      </c>
      <c r="E229" s="2" t="s">
        <v>886</v>
      </c>
      <c r="F229" s="2" t="s">
        <v>952</v>
      </c>
      <c r="G229" s="2" t="s">
        <v>496</v>
      </c>
      <c r="H229" s="2" t="s">
        <v>888</v>
      </c>
      <c r="I229" s="2" t="s">
        <v>901</v>
      </c>
      <c r="J229" s="2" t="s">
        <v>953</v>
      </c>
      <c r="K229" s="2"/>
      <c r="L229" s="2" t="s">
        <v>635</v>
      </c>
      <c r="M229" s="2" t="s">
        <v>891</v>
      </c>
      <c r="N229" s="2" t="s">
        <v>892</v>
      </c>
      <c r="O229" s="2" t="s">
        <v>893</v>
      </c>
    </row>
    <row r="230" spans="1:15" ht="171">
      <c r="A230" s="2" t="s">
        <v>954</v>
      </c>
      <c r="B230" s="2"/>
      <c r="C230" s="2" t="s">
        <v>955</v>
      </c>
      <c r="D230" s="2" t="s">
        <v>404</v>
      </c>
      <c r="E230" s="2" t="s">
        <v>886</v>
      </c>
      <c r="F230" s="2" t="s">
        <v>956</v>
      </c>
      <c r="G230" s="2" t="s">
        <v>496</v>
      </c>
      <c r="H230" s="2" t="s">
        <v>888</v>
      </c>
      <c r="I230" s="2" t="s">
        <v>912</v>
      </c>
      <c r="J230" s="2" t="s">
        <v>957</v>
      </c>
      <c r="K230" s="2"/>
      <c r="L230" s="2" t="s">
        <v>635</v>
      </c>
      <c r="M230" s="2" t="s">
        <v>891</v>
      </c>
      <c r="N230" s="2" t="s">
        <v>892</v>
      </c>
      <c r="O230" s="2" t="s">
        <v>893</v>
      </c>
    </row>
    <row r="231" spans="1:15" ht="28.5">
      <c r="A231" s="2" t="s">
        <v>958</v>
      </c>
      <c r="B231" s="2" t="s">
        <v>403</v>
      </c>
      <c r="C231" s="2" t="s">
        <v>584</v>
      </c>
      <c r="D231" s="2" t="s">
        <v>407</v>
      </c>
      <c r="E231" s="2" t="s">
        <v>886</v>
      </c>
      <c r="F231" s="2" t="s">
        <v>959</v>
      </c>
      <c r="G231" s="2" t="s">
        <v>960</v>
      </c>
      <c r="H231" s="2" t="s">
        <v>888</v>
      </c>
      <c r="I231" s="2" t="s">
        <v>896</v>
      </c>
      <c r="J231" s="2" t="s">
        <v>961</v>
      </c>
      <c r="K231" s="2"/>
      <c r="L231" s="2" t="s">
        <v>635</v>
      </c>
      <c r="M231" s="2" t="s">
        <v>891</v>
      </c>
      <c r="N231" s="2" t="s">
        <v>892</v>
      </c>
      <c r="O231" s="2" t="s">
        <v>893</v>
      </c>
    </row>
    <row r="232" spans="1:15" ht="28.5">
      <c r="A232" s="2" t="s">
        <v>962</v>
      </c>
      <c r="B232" s="2" t="s">
        <v>410</v>
      </c>
      <c r="C232" s="2" t="s">
        <v>584</v>
      </c>
      <c r="D232" s="2" t="s">
        <v>412</v>
      </c>
      <c r="E232" s="2" t="s">
        <v>886</v>
      </c>
      <c r="F232" s="2" t="s">
        <v>963</v>
      </c>
      <c r="G232" s="2" t="s">
        <v>496</v>
      </c>
      <c r="H232" s="2" t="s">
        <v>888</v>
      </c>
      <c r="I232" s="2" t="s">
        <v>901</v>
      </c>
      <c r="J232" s="2" t="s">
        <v>964</v>
      </c>
      <c r="K232" s="2"/>
      <c r="L232" s="2" t="s">
        <v>635</v>
      </c>
      <c r="M232" s="2" t="s">
        <v>891</v>
      </c>
      <c r="N232" s="2" t="s">
        <v>892</v>
      </c>
      <c r="O232" s="2" t="s">
        <v>893</v>
      </c>
    </row>
    <row r="233" spans="1:15" ht="28.5">
      <c r="A233" s="2" t="s">
        <v>965</v>
      </c>
      <c r="B233" s="2" t="s">
        <v>410</v>
      </c>
      <c r="C233" s="2" t="s">
        <v>584</v>
      </c>
      <c r="D233" s="2" t="s">
        <v>412</v>
      </c>
      <c r="E233" s="2" t="s">
        <v>886</v>
      </c>
      <c r="F233" s="2" t="s">
        <v>966</v>
      </c>
      <c r="G233" s="2" t="s">
        <v>496</v>
      </c>
      <c r="H233" s="2" t="s">
        <v>888</v>
      </c>
      <c r="I233" s="2" t="s">
        <v>901</v>
      </c>
      <c r="J233" s="2" t="s">
        <v>967</v>
      </c>
      <c r="K233" s="2"/>
      <c r="L233" s="2" t="s">
        <v>635</v>
      </c>
      <c r="M233" s="2" t="s">
        <v>891</v>
      </c>
      <c r="N233" s="2" t="s">
        <v>892</v>
      </c>
      <c r="O233" s="2" t="s">
        <v>893</v>
      </c>
    </row>
    <row r="234" spans="1:15" ht="28.5">
      <c r="A234" s="2" t="s">
        <v>968</v>
      </c>
      <c r="B234" s="2" t="s">
        <v>415</v>
      </c>
      <c r="C234" s="2" t="s">
        <v>584</v>
      </c>
      <c r="D234" s="2" t="s">
        <v>417</v>
      </c>
      <c r="E234" s="2" t="s">
        <v>886</v>
      </c>
      <c r="F234" s="2" t="s">
        <v>969</v>
      </c>
      <c r="G234" s="2" t="s">
        <v>940</v>
      </c>
      <c r="H234" s="2" t="s">
        <v>888</v>
      </c>
      <c r="I234" s="2" t="s">
        <v>901</v>
      </c>
      <c r="J234" s="2" t="s">
        <v>970</v>
      </c>
      <c r="K234" s="2"/>
      <c r="L234" s="2" t="s">
        <v>635</v>
      </c>
      <c r="M234" s="2" t="s">
        <v>891</v>
      </c>
      <c r="N234" s="2" t="s">
        <v>892</v>
      </c>
      <c r="O234" s="2" t="s">
        <v>893</v>
      </c>
    </row>
    <row r="235" spans="1:15" ht="99.75">
      <c r="A235" s="2" t="s">
        <v>971</v>
      </c>
      <c r="B235" s="2" t="s">
        <v>415</v>
      </c>
      <c r="C235" s="2" t="s">
        <v>584</v>
      </c>
      <c r="D235" s="2" t="s">
        <v>417</v>
      </c>
      <c r="E235" s="2" t="s">
        <v>886</v>
      </c>
      <c r="F235" s="2" t="s">
        <v>972</v>
      </c>
      <c r="G235" s="2" t="s">
        <v>496</v>
      </c>
      <c r="H235" s="2" t="s">
        <v>888</v>
      </c>
      <c r="I235" s="2" t="s">
        <v>912</v>
      </c>
      <c r="J235" s="2" t="s">
        <v>973</v>
      </c>
      <c r="K235" s="2"/>
      <c r="L235" s="2" t="s">
        <v>635</v>
      </c>
      <c r="M235" s="2" t="s">
        <v>891</v>
      </c>
      <c r="N235" s="2" t="s">
        <v>892</v>
      </c>
      <c r="O235" s="2" t="s">
        <v>893</v>
      </c>
    </row>
    <row r="236" spans="1:15" ht="57">
      <c r="A236" s="2" t="s">
        <v>974</v>
      </c>
      <c r="B236" s="2" t="s">
        <v>421</v>
      </c>
      <c r="C236" s="2" t="s">
        <v>584</v>
      </c>
      <c r="D236" s="2" t="s">
        <v>423</v>
      </c>
      <c r="E236" s="2" t="s">
        <v>886</v>
      </c>
      <c r="F236" s="2" t="s">
        <v>975</v>
      </c>
      <c r="G236" s="2" t="s">
        <v>916</v>
      </c>
      <c r="H236" s="2" t="s">
        <v>888</v>
      </c>
      <c r="I236" s="2" t="s">
        <v>901</v>
      </c>
      <c r="J236" s="2" t="s">
        <v>976</v>
      </c>
      <c r="K236" s="2"/>
      <c r="L236" s="2" t="s">
        <v>635</v>
      </c>
      <c r="M236" s="2" t="s">
        <v>891</v>
      </c>
      <c r="N236" s="2" t="s">
        <v>892</v>
      </c>
      <c r="O236" s="2" t="s">
        <v>893</v>
      </c>
    </row>
    <row r="237" spans="1:15" ht="57">
      <c r="A237" s="2" t="s">
        <v>977</v>
      </c>
      <c r="B237" s="2" t="s">
        <v>421</v>
      </c>
      <c r="C237" s="2" t="s">
        <v>584</v>
      </c>
      <c r="D237" s="2" t="s">
        <v>423</v>
      </c>
      <c r="E237" s="2" t="s">
        <v>886</v>
      </c>
      <c r="F237" s="2" t="s">
        <v>978</v>
      </c>
      <c r="G237" s="2" t="s">
        <v>496</v>
      </c>
      <c r="H237" s="2" t="s">
        <v>888</v>
      </c>
      <c r="I237" s="2" t="s">
        <v>901</v>
      </c>
      <c r="J237" s="2" t="s">
        <v>979</v>
      </c>
      <c r="K237" s="2"/>
      <c r="L237" s="2" t="s">
        <v>635</v>
      </c>
      <c r="M237" s="2" t="s">
        <v>891</v>
      </c>
      <c r="N237" s="2" t="s">
        <v>892</v>
      </c>
      <c r="O237" s="2" t="s">
        <v>893</v>
      </c>
    </row>
    <row r="238" spans="1:15" ht="28.5">
      <c r="A238" s="2" t="s">
        <v>980</v>
      </c>
      <c r="B238" s="2" t="s">
        <v>421</v>
      </c>
      <c r="C238" s="2" t="s">
        <v>584</v>
      </c>
      <c r="D238" s="2" t="s">
        <v>423</v>
      </c>
      <c r="E238" s="2" t="s">
        <v>886</v>
      </c>
      <c r="F238" s="2" t="s">
        <v>981</v>
      </c>
      <c r="G238" s="2" t="s">
        <v>916</v>
      </c>
      <c r="H238" s="2" t="s">
        <v>888</v>
      </c>
      <c r="I238" s="2" t="s">
        <v>901</v>
      </c>
      <c r="J238" s="2" t="s">
        <v>982</v>
      </c>
      <c r="K238" s="2"/>
      <c r="L238" s="2" t="s">
        <v>635</v>
      </c>
      <c r="M238" s="2" t="s">
        <v>891</v>
      </c>
      <c r="N238" s="2" t="s">
        <v>892</v>
      </c>
      <c r="O238" s="2" t="s">
        <v>893</v>
      </c>
    </row>
    <row r="239" spans="1:15" ht="57">
      <c r="A239" s="2" t="s">
        <v>983</v>
      </c>
      <c r="B239" s="2" t="s">
        <v>426</v>
      </c>
      <c r="C239" s="2" t="s">
        <v>584</v>
      </c>
      <c r="D239" s="2" t="s">
        <v>428</v>
      </c>
      <c r="E239" s="2" t="s">
        <v>886</v>
      </c>
      <c r="F239" s="2" t="s">
        <v>984</v>
      </c>
      <c r="G239" s="2" t="s">
        <v>960</v>
      </c>
      <c r="H239" s="2" t="s">
        <v>888</v>
      </c>
      <c r="I239" s="2" t="s">
        <v>901</v>
      </c>
      <c r="J239" s="2" t="s">
        <v>985</v>
      </c>
      <c r="K239" s="2"/>
      <c r="L239" s="2" t="s">
        <v>635</v>
      </c>
      <c r="M239" s="2" t="s">
        <v>891</v>
      </c>
      <c r="N239" s="2" t="s">
        <v>892</v>
      </c>
      <c r="O239" s="2" t="s">
        <v>893</v>
      </c>
    </row>
    <row r="240" spans="1:15" ht="114">
      <c r="A240" s="2" t="s">
        <v>986</v>
      </c>
      <c r="B240" s="2" t="s">
        <v>426</v>
      </c>
      <c r="C240" s="2" t="s">
        <v>584</v>
      </c>
      <c r="D240" s="2" t="s">
        <v>428</v>
      </c>
      <c r="E240" s="2" t="s">
        <v>886</v>
      </c>
      <c r="F240" s="2" t="s">
        <v>987</v>
      </c>
      <c r="G240" s="2" t="s">
        <v>988</v>
      </c>
      <c r="H240" s="2" t="s">
        <v>888</v>
      </c>
      <c r="I240" s="2" t="s">
        <v>901</v>
      </c>
      <c r="J240" s="2" t="s">
        <v>989</v>
      </c>
      <c r="K240" s="2"/>
      <c r="L240" s="2" t="s">
        <v>635</v>
      </c>
      <c r="M240" s="2" t="s">
        <v>891</v>
      </c>
      <c r="N240" s="2" t="s">
        <v>892</v>
      </c>
      <c r="O240" s="2" t="s">
        <v>893</v>
      </c>
    </row>
    <row r="241" spans="1:15" ht="28.5">
      <c r="A241" s="2" t="s">
        <v>990</v>
      </c>
      <c r="B241" s="2" t="s">
        <v>426</v>
      </c>
      <c r="C241" s="2" t="s">
        <v>584</v>
      </c>
      <c r="D241" s="2" t="s">
        <v>428</v>
      </c>
      <c r="E241" s="2" t="s">
        <v>886</v>
      </c>
      <c r="F241" s="2" t="s">
        <v>991</v>
      </c>
      <c r="G241" s="2" t="s">
        <v>940</v>
      </c>
      <c r="H241" s="2" t="s">
        <v>888</v>
      </c>
      <c r="I241" s="2" t="s">
        <v>901</v>
      </c>
      <c r="J241" s="2" t="s">
        <v>992</v>
      </c>
      <c r="K241" s="2"/>
      <c r="L241" s="2" t="s">
        <v>635</v>
      </c>
      <c r="M241" s="2" t="s">
        <v>891</v>
      </c>
      <c r="N241" s="2" t="s">
        <v>892</v>
      </c>
      <c r="O241" s="2" t="s">
        <v>893</v>
      </c>
    </row>
    <row r="242" spans="1:15" ht="28.5">
      <c r="A242" s="2" t="s">
        <v>993</v>
      </c>
      <c r="B242" s="2" t="s">
        <v>426</v>
      </c>
      <c r="C242" s="2" t="s">
        <v>584</v>
      </c>
      <c r="D242" s="2" t="s">
        <v>428</v>
      </c>
      <c r="E242" s="2" t="s">
        <v>886</v>
      </c>
      <c r="F242" s="2" t="s">
        <v>994</v>
      </c>
      <c r="G242" s="2" t="s">
        <v>496</v>
      </c>
      <c r="H242" s="2" t="s">
        <v>888</v>
      </c>
      <c r="I242" s="2" t="s">
        <v>901</v>
      </c>
      <c r="J242" s="2" t="s">
        <v>995</v>
      </c>
      <c r="K242" s="2"/>
      <c r="L242" s="2" t="s">
        <v>635</v>
      </c>
      <c r="M242" s="2" t="s">
        <v>891</v>
      </c>
      <c r="N242" s="2" t="s">
        <v>892</v>
      </c>
      <c r="O242" s="2" t="s">
        <v>893</v>
      </c>
    </row>
    <row r="243" spans="1:15" ht="57">
      <c r="A243" s="2" t="s">
        <v>996</v>
      </c>
      <c r="B243" s="2" t="s">
        <v>426</v>
      </c>
      <c r="C243" s="2" t="s">
        <v>584</v>
      </c>
      <c r="D243" s="2" t="s">
        <v>428</v>
      </c>
      <c r="E243" s="2" t="s">
        <v>886</v>
      </c>
      <c r="F243" s="2" t="s">
        <v>997</v>
      </c>
      <c r="G243" s="2" t="s">
        <v>496</v>
      </c>
      <c r="H243" s="2" t="s">
        <v>888</v>
      </c>
      <c r="I243" s="2" t="s">
        <v>901</v>
      </c>
      <c r="J243" s="2" t="s">
        <v>998</v>
      </c>
      <c r="K243" s="2"/>
      <c r="L243" s="2" t="s">
        <v>635</v>
      </c>
      <c r="M243" s="2" t="s">
        <v>891</v>
      </c>
      <c r="N243" s="2" t="s">
        <v>892</v>
      </c>
      <c r="O243" s="2" t="s">
        <v>893</v>
      </c>
    </row>
    <row r="244" spans="1:15" ht="28.5">
      <c r="A244" s="2" t="s">
        <v>999</v>
      </c>
      <c r="B244" s="2" t="s">
        <v>426</v>
      </c>
      <c r="C244" s="2" t="s">
        <v>584</v>
      </c>
      <c r="D244" s="2" t="s">
        <v>428</v>
      </c>
      <c r="E244" s="2" t="s">
        <v>886</v>
      </c>
      <c r="F244" s="2" t="s">
        <v>1000</v>
      </c>
      <c r="G244" s="2" t="s">
        <v>916</v>
      </c>
      <c r="H244" s="2" t="s">
        <v>888</v>
      </c>
      <c r="I244" s="2" t="s">
        <v>901</v>
      </c>
      <c r="J244" s="2" t="s">
        <v>1001</v>
      </c>
      <c r="K244" s="2"/>
      <c r="L244" s="2" t="s">
        <v>635</v>
      </c>
      <c r="M244" s="2" t="s">
        <v>891</v>
      </c>
      <c r="N244" s="2" t="s">
        <v>892</v>
      </c>
      <c r="O244" s="2" t="s">
        <v>893</v>
      </c>
    </row>
    <row r="245" spans="1:15" ht="57">
      <c r="A245" s="2" t="s">
        <v>1002</v>
      </c>
      <c r="B245" s="2" t="s">
        <v>426</v>
      </c>
      <c r="C245" s="2" t="s">
        <v>584</v>
      </c>
      <c r="D245" s="2" t="s">
        <v>428</v>
      </c>
      <c r="E245" s="2" t="s">
        <v>886</v>
      </c>
      <c r="F245" s="2" t="s">
        <v>1003</v>
      </c>
      <c r="G245" s="2" t="s">
        <v>1004</v>
      </c>
      <c r="H245" s="2" t="s">
        <v>888</v>
      </c>
      <c r="I245" s="2" t="s">
        <v>901</v>
      </c>
      <c r="J245" s="2" t="s">
        <v>1005</v>
      </c>
      <c r="K245" s="2"/>
      <c r="L245" s="2" t="s">
        <v>635</v>
      </c>
      <c r="M245" s="2" t="s">
        <v>891</v>
      </c>
      <c r="N245" s="2" t="s">
        <v>892</v>
      </c>
      <c r="O245" s="2" t="s">
        <v>893</v>
      </c>
    </row>
    <row r="246" spans="1:15" ht="28.5">
      <c r="A246" s="2" t="s">
        <v>1006</v>
      </c>
      <c r="B246" s="2" t="s">
        <v>431</v>
      </c>
      <c r="C246" s="2" t="s">
        <v>584</v>
      </c>
      <c r="D246" s="2" t="s">
        <v>435</v>
      </c>
      <c r="E246" s="2" t="s">
        <v>886</v>
      </c>
      <c r="F246" s="2" t="s">
        <v>1007</v>
      </c>
      <c r="G246" s="2" t="s">
        <v>496</v>
      </c>
      <c r="H246" s="2" t="s">
        <v>888</v>
      </c>
      <c r="I246" s="2" t="s">
        <v>901</v>
      </c>
      <c r="J246" s="2" t="s">
        <v>1008</v>
      </c>
      <c r="K246" s="2"/>
      <c r="L246" s="2" t="s">
        <v>635</v>
      </c>
      <c r="M246" s="2" t="s">
        <v>891</v>
      </c>
      <c r="N246" s="2" t="s">
        <v>892</v>
      </c>
      <c r="O246" s="2" t="s">
        <v>893</v>
      </c>
    </row>
    <row r="247" spans="1:15" ht="71.25">
      <c r="A247" s="2" t="s">
        <v>1009</v>
      </c>
      <c r="B247" s="2" t="s">
        <v>431</v>
      </c>
      <c r="C247" s="2" t="s">
        <v>584</v>
      </c>
      <c r="D247" s="2" t="s">
        <v>435</v>
      </c>
      <c r="E247" s="2" t="s">
        <v>886</v>
      </c>
      <c r="F247" s="2" t="s">
        <v>1010</v>
      </c>
      <c r="G247" s="2" t="s">
        <v>496</v>
      </c>
      <c r="H247" s="2" t="s">
        <v>888</v>
      </c>
      <c r="I247" s="2" t="s">
        <v>1011</v>
      </c>
      <c r="J247" s="2" t="s">
        <v>1012</v>
      </c>
      <c r="K247" s="2"/>
      <c r="L247" s="2" t="s">
        <v>588</v>
      </c>
      <c r="M247" s="2" t="s">
        <v>891</v>
      </c>
      <c r="N247" s="2" t="s">
        <v>892</v>
      </c>
      <c r="O247" s="2" t="s">
        <v>893</v>
      </c>
    </row>
    <row r="248" spans="1:15" ht="28.5">
      <c r="A248" s="2" t="s">
        <v>1013</v>
      </c>
      <c r="B248" s="2" t="s">
        <v>440</v>
      </c>
      <c r="C248" s="2" t="s">
        <v>584</v>
      </c>
      <c r="D248" s="2" t="s">
        <v>442</v>
      </c>
      <c r="E248" s="2" t="s">
        <v>886</v>
      </c>
      <c r="F248" s="2" t="s">
        <v>1014</v>
      </c>
      <c r="G248" s="2" t="s">
        <v>1015</v>
      </c>
      <c r="H248" s="2" t="s">
        <v>888</v>
      </c>
      <c r="I248" s="2" t="s">
        <v>896</v>
      </c>
      <c r="J248" s="2" t="s">
        <v>1016</v>
      </c>
      <c r="K248" s="2"/>
      <c r="L248" s="2" t="s">
        <v>635</v>
      </c>
      <c r="M248" s="2" t="s">
        <v>891</v>
      </c>
      <c r="N248" s="2" t="s">
        <v>892</v>
      </c>
      <c r="O248" s="2" t="s">
        <v>893</v>
      </c>
    </row>
    <row r="249" spans="1:15" ht="99.75">
      <c r="A249" s="2" t="s">
        <v>1017</v>
      </c>
      <c r="B249" s="2" t="s">
        <v>440</v>
      </c>
      <c r="C249" s="2" t="s">
        <v>584</v>
      </c>
      <c r="D249" s="2" t="s">
        <v>442</v>
      </c>
      <c r="E249" s="2" t="s">
        <v>886</v>
      </c>
      <c r="F249" s="2" t="s">
        <v>1018</v>
      </c>
      <c r="G249" s="2" t="s">
        <v>940</v>
      </c>
      <c r="H249" s="2" t="s">
        <v>888</v>
      </c>
      <c r="I249" s="2" t="s">
        <v>912</v>
      </c>
      <c r="J249" s="2" t="s">
        <v>1019</v>
      </c>
      <c r="K249" s="2"/>
      <c r="L249" s="2" t="s">
        <v>635</v>
      </c>
      <c r="M249" s="2" t="s">
        <v>891</v>
      </c>
      <c r="N249" s="2" t="s">
        <v>892</v>
      </c>
      <c r="O249" s="2" t="s">
        <v>893</v>
      </c>
    </row>
    <row r="250" spans="1:15" ht="57">
      <c r="A250" s="2" t="s">
        <v>1020</v>
      </c>
      <c r="B250" s="2" t="s">
        <v>440</v>
      </c>
      <c r="C250" s="2" t="s">
        <v>584</v>
      </c>
      <c r="D250" s="2" t="s">
        <v>442</v>
      </c>
      <c r="E250" s="2" t="s">
        <v>886</v>
      </c>
      <c r="F250" s="2" t="s">
        <v>1021</v>
      </c>
      <c r="G250" s="2" t="s">
        <v>916</v>
      </c>
      <c r="H250" s="2" t="s">
        <v>888</v>
      </c>
      <c r="I250" s="2" t="s">
        <v>1011</v>
      </c>
      <c r="J250" s="2" t="s">
        <v>1022</v>
      </c>
      <c r="K250" s="2"/>
      <c r="L250" s="2" t="s">
        <v>588</v>
      </c>
      <c r="M250" s="2" t="s">
        <v>891</v>
      </c>
      <c r="N250" s="2" t="s">
        <v>892</v>
      </c>
      <c r="O250" s="2" t="s">
        <v>893</v>
      </c>
    </row>
    <row r="251" spans="1:15" ht="28.5">
      <c r="A251" s="2" t="s">
        <v>1023</v>
      </c>
      <c r="B251" s="2" t="s">
        <v>446</v>
      </c>
      <c r="C251" s="2" t="s">
        <v>584</v>
      </c>
      <c r="D251" s="2" t="s">
        <v>449</v>
      </c>
      <c r="E251" s="2" t="s">
        <v>886</v>
      </c>
      <c r="F251" s="2" t="s">
        <v>1024</v>
      </c>
      <c r="G251" s="2" t="s">
        <v>920</v>
      </c>
      <c r="H251" s="2" t="s">
        <v>888</v>
      </c>
      <c r="I251" s="2" t="s">
        <v>901</v>
      </c>
      <c r="J251" s="2" t="s">
        <v>1025</v>
      </c>
      <c r="K251" s="2"/>
      <c r="L251" s="2" t="s">
        <v>635</v>
      </c>
      <c r="M251" s="2" t="s">
        <v>891</v>
      </c>
      <c r="N251" s="2" t="s">
        <v>892</v>
      </c>
      <c r="O251" s="2" t="s">
        <v>893</v>
      </c>
    </row>
    <row r="252" spans="1:15" ht="85.5">
      <c r="A252" s="2" t="s">
        <v>1026</v>
      </c>
      <c r="B252" s="2" t="s">
        <v>446</v>
      </c>
      <c r="C252" s="2" t="s">
        <v>584</v>
      </c>
      <c r="D252" s="2" t="s">
        <v>449</v>
      </c>
      <c r="E252" s="2" t="s">
        <v>886</v>
      </c>
      <c r="F252" s="2" t="s">
        <v>1027</v>
      </c>
      <c r="G252" s="2" t="s">
        <v>1028</v>
      </c>
      <c r="H252" s="2" t="s">
        <v>888</v>
      </c>
      <c r="I252" s="2" t="s">
        <v>901</v>
      </c>
      <c r="J252" s="2" t="s">
        <v>1029</v>
      </c>
      <c r="K252" s="2"/>
      <c r="L252" s="2" t="s">
        <v>635</v>
      </c>
      <c r="M252" s="2" t="s">
        <v>891</v>
      </c>
      <c r="N252" s="2" t="s">
        <v>892</v>
      </c>
      <c r="O252" s="2" t="s">
        <v>893</v>
      </c>
    </row>
    <row r="253" spans="1:15" ht="28.5">
      <c r="A253" s="2" t="s">
        <v>1030</v>
      </c>
      <c r="B253" s="2" t="s">
        <v>446</v>
      </c>
      <c r="C253" s="2" t="s">
        <v>584</v>
      </c>
      <c r="D253" s="2" t="s">
        <v>449</v>
      </c>
      <c r="E253" s="2" t="s">
        <v>886</v>
      </c>
      <c r="F253" s="2" t="s">
        <v>1031</v>
      </c>
      <c r="G253" s="2" t="s">
        <v>1015</v>
      </c>
      <c r="H253" s="2" t="s">
        <v>888</v>
      </c>
      <c r="I253" s="2" t="s">
        <v>901</v>
      </c>
      <c r="J253" s="2" t="s">
        <v>1032</v>
      </c>
      <c r="K253" s="2"/>
      <c r="L253" s="2" t="s">
        <v>635</v>
      </c>
      <c r="M253" s="2" t="s">
        <v>891</v>
      </c>
      <c r="N253" s="2" t="s">
        <v>892</v>
      </c>
      <c r="O253" s="2" t="s">
        <v>893</v>
      </c>
    </row>
    <row r="254" spans="1:15" ht="114">
      <c r="A254" s="2" t="s">
        <v>1033</v>
      </c>
      <c r="B254" s="2" t="s">
        <v>446</v>
      </c>
      <c r="C254" s="2" t="s">
        <v>584</v>
      </c>
      <c r="D254" s="2" t="s">
        <v>449</v>
      </c>
      <c r="E254" s="2" t="s">
        <v>886</v>
      </c>
      <c r="F254" s="2" t="s">
        <v>1034</v>
      </c>
      <c r="G254" s="2" t="s">
        <v>960</v>
      </c>
      <c r="H254" s="2" t="s">
        <v>888</v>
      </c>
      <c r="I254" s="2" t="s">
        <v>1011</v>
      </c>
      <c r="J254" s="2" t="s">
        <v>1035</v>
      </c>
      <c r="K254" s="2"/>
      <c r="L254" s="2" t="s">
        <v>588</v>
      </c>
      <c r="M254" s="2" t="s">
        <v>891</v>
      </c>
      <c r="N254" s="2" t="s">
        <v>892</v>
      </c>
      <c r="O254" s="2" t="s">
        <v>893</v>
      </c>
    </row>
    <row r="255" spans="1:15" ht="114">
      <c r="A255" s="2" t="s">
        <v>1036</v>
      </c>
      <c r="B255" s="2" t="s">
        <v>453</v>
      </c>
      <c r="C255" s="2" t="s">
        <v>584</v>
      </c>
      <c r="D255" s="2" t="s">
        <v>455</v>
      </c>
      <c r="E255" s="2" t="s">
        <v>886</v>
      </c>
      <c r="F255" s="2" t="s">
        <v>1037</v>
      </c>
      <c r="G255" s="2" t="s">
        <v>1038</v>
      </c>
      <c r="H255" s="2" t="s">
        <v>888</v>
      </c>
      <c r="I255" s="2" t="s">
        <v>896</v>
      </c>
      <c r="J255" s="2" t="s">
        <v>1039</v>
      </c>
      <c r="K255" s="2"/>
      <c r="L255" s="2" t="s">
        <v>635</v>
      </c>
      <c r="M255" s="2" t="s">
        <v>891</v>
      </c>
      <c r="N255" s="2" t="s">
        <v>892</v>
      </c>
      <c r="O255" s="2" t="s">
        <v>893</v>
      </c>
    </row>
    <row r="256" spans="1:15" ht="57">
      <c r="A256" s="2" t="s">
        <v>1040</v>
      </c>
      <c r="B256" s="2" t="s">
        <v>453</v>
      </c>
      <c r="C256" s="2" t="s">
        <v>584</v>
      </c>
      <c r="D256" s="2" t="s">
        <v>455</v>
      </c>
      <c r="E256" s="2" t="s">
        <v>886</v>
      </c>
      <c r="F256" s="2" t="s">
        <v>1041</v>
      </c>
      <c r="G256" s="2" t="s">
        <v>920</v>
      </c>
      <c r="H256" s="2" t="s">
        <v>888</v>
      </c>
      <c r="I256" s="2" t="s">
        <v>901</v>
      </c>
      <c r="J256" s="2" t="s">
        <v>1042</v>
      </c>
      <c r="K256" s="2"/>
      <c r="L256" s="2" t="s">
        <v>635</v>
      </c>
      <c r="M256" s="2" t="s">
        <v>891</v>
      </c>
      <c r="N256" s="2" t="s">
        <v>892</v>
      </c>
      <c r="O256" s="2" t="s">
        <v>893</v>
      </c>
    </row>
    <row r="257" spans="1:15" ht="99.75">
      <c r="A257" s="2" t="s">
        <v>1043</v>
      </c>
      <c r="B257" s="2" t="s">
        <v>453</v>
      </c>
      <c r="C257" s="2" t="s">
        <v>584</v>
      </c>
      <c r="D257" s="2" t="s">
        <v>455</v>
      </c>
      <c r="E257" s="2" t="s">
        <v>886</v>
      </c>
      <c r="F257" s="2" t="s">
        <v>1044</v>
      </c>
      <c r="G257" s="2" t="s">
        <v>920</v>
      </c>
      <c r="H257" s="2" t="s">
        <v>888</v>
      </c>
      <c r="I257" s="2" t="s">
        <v>912</v>
      </c>
      <c r="J257" s="2" t="s">
        <v>1045</v>
      </c>
      <c r="K257" s="2"/>
      <c r="L257" s="2" t="s">
        <v>635</v>
      </c>
      <c r="M257" s="2" t="s">
        <v>891</v>
      </c>
      <c r="N257" s="2" t="s">
        <v>892</v>
      </c>
      <c r="O257" s="2" t="s">
        <v>893</v>
      </c>
    </row>
    <row r="258" spans="1:15" ht="57">
      <c r="A258" s="2" t="s">
        <v>1046</v>
      </c>
      <c r="B258" s="2" t="s">
        <v>459</v>
      </c>
      <c r="C258" s="2" t="s">
        <v>584</v>
      </c>
      <c r="D258" s="2" t="s">
        <v>461</v>
      </c>
      <c r="E258" s="2" t="s">
        <v>886</v>
      </c>
      <c r="F258" s="2" t="s">
        <v>1047</v>
      </c>
      <c r="G258" s="2" t="s">
        <v>496</v>
      </c>
      <c r="H258" s="2" t="s">
        <v>888</v>
      </c>
      <c r="I258" s="2" t="s">
        <v>896</v>
      </c>
      <c r="J258" s="2" t="s">
        <v>1048</v>
      </c>
      <c r="K258" s="2"/>
      <c r="L258" s="2" t="s">
        <v>635</v>
      </c>
      <c r="M258" s="2" t="s">
        <v>891</v>
      </c>
      <c r="N258" s="2" t="s">
        <v>892</v>
      </c>
      <c r="O258" s="2" t="s">
        <v>893</v>
      </c>
    </row>
    <row r="259" spans="1:15" ht="57">
      <c r="A259" s="2" t="s">
        <v>1049</v>
      </c>
      <c r="B259" s="2" t="s">
        <v>459</v>
      </c>
      <c r="C259" s="2" t="s">
        <v>584</v>
      </c>
      <c r="D259" s="2" t="s">
        <v>461</v>
      </c>
      <c r="E259" s="2" t="s">
        <v>886</v>
      </c>
      <c r="F259" s="2" t="s">
        <v>1050</v>
      </c>
      <c r="G259" s="2" t="s">
        <v>1051</v>
      </c>
      <c r="H259" s="2" t="s">
        <v>888</v>
      </c>
      <c r="I259" s="2" t="s">
        <v>901</v>
      </c>
      <c r="J259" s="2" t="s">
        <v>1052</v>
      </c>
      <c r="K259" s="2"/>
      <c r="L259" s="2" t="s">
        <v>635</v>
      </c>
      <c r="M259" s="2" t="s">
        <v>891</v>
      </c>
      <c r="N259" s="2" t="s">
        <v>892</v>
      </c>
      <c r="O259" s="2" t="s">
        <v>893</v>
      </c>
    </row>
    <row r="260" spans="1:15" ht="42.75">
      <c r="A260" s="2" t="s">
        <v>1053</v>
      </c>
      <c r="B260" s="2" t="s">
        <v>459</v>
      </c>
      <c r="C260" s="2" t="s">
        <v>584</v>
      </c>
      <c r="D260" s="2" t="s">
        <v>461</v>
      </c>
      <c r="E260" s="2" t="s">
        <v>886</v>
      </c>
      <c r="F260" s="2" t="s">
        <v>1054</v>
      </c>
      <c r="G260" s="2" t="s">
        <v>1055</v>
      </c>
      <c r="H260" s="2" t="s">
        <v>888</v>
      </c>
      <c r="I260" s="2" t="s">
        <v>901</v>
      </c>
      <c r="J260" s="2" t="s">
        <v>1056</v>
      </c>
      <c r="K260" s="2"/>
      <c r="L260" s="2" t="s">
        <v>635</v>
      </c>
      <c r="M260" s="2" t="s">
        <v>891</v>
      </c>
      <c r="N260" s="2" t="s">
        <v>892</v>
      </c>
      <c r="O260" s="2" t="s">
        <v>893</v>
      </c>
    </row>
    <row r="261" spans="1:15" ht="71.25">
      <c r="A261" s="2" t="s">
        <v>1057</v>
      </c>
      <c r="B261" s="2" t="s">
        <v>459</v>
      </c>
      <c r="C261" s="2" t="s">
        <v>584</v>
      </c>
      <c r="D261" s="2" t="s">
        <v>461</v>
      </c>
      <c r="E261" s="2" t="s">
        <v>886</v>
      </c>
      <c r="F261" s="2" t="s">
        <v>1058</v>
      </c>
      <c r="G261" s="2" t="s">
        <v>1059</v>
      </c>
      <c r="H261" s="2" t="s">
        <v>888</v>
      </c>
      <c r="I261" s="2" t="s">
        <v>901</v>
      </c>
      <c r="J261" s="2" t="s">
        <v>1060</v>
      </c>
      <c r="K261" s="2"/>
      <c r="L261" s="2" t="s">
        <v>635</v>
      </c>
      <c r="M261" s="2" t="s">
        <v>891</v>
      </c>
      <c r="N261" s="2" t="s">
        <v>892</v>
      </c>
      <c r="O261" s="2" t="s">
        <v>893</v>
      </c>
    </row>
    <row r="262" spans="1:15" ht="28.5">
      <c r="A262" s="2" t="s">
        <v>1061</v>
      </c>
      <c r="B262" s="2" t="s">
        <v>76</v>
      </c>
      <c r="C262" s="2" t="s">
        <v>584</v>
      </c>
      <c r="D262" s="2" t="s">
        <v>81</v>
      </c>
      <c r="E262" s="2" t="s">
        <v>886</v>
      </c>
      <c r="F262" s="2" t="s">
        <v>1062</v>
      </c>
      <c r="G262" s="2" t="s">
        <v>1063</v>
      </c>
      <c r="H262" s="2" t="s">
        <v>888</v>
      </c>
      <c r="I262" s="2" t="s">
        <v>1064</v>
      </c>
      <c r="J262" s="2" t="s">
        <v>1065</v>
      </c>
      <c r="K262" s="2"/>
      <c r="L262" s="2" t="s">
        <v>588</v>
      </c>
      <c r="M262" s="2" t="s">
        <v>891</v>
      </c>
      <c r="N262" s="2" t="s">
        <v>1066</v>
      </c>
      <c r="O262" s="2" t="s">
        <v>893</v>
      </c>
    </row>
    <row r="263" spans="1:15" ht="28.5">
      <c r="A263" s="2" t="s">
        <v>1067</v>
      </c>
      <c r="B263" s="2" t="s">
        <v>76</v>
      </c>
      <c r="C263" s="2" t="s">
        <v>584</v>
      </c>
      <c r="D263" s="2" t="s">
        <v>81</v>
      </c>
      <c r="E263" s="2" t="s">
        <v>886</v>
      </c>
      <c r="F263" s="2" t="s">
        <v>1068</v>
      </c>
      <c r="G263" s="2" t="s">
        <v>496</v>
      </c>
      <c r="H263" s="2" t="s">
        <v>888</v>
      </c>
      <c r="I263" s="2" t="s">
        <v>1069</v>
      </c>
      <c r="J263" s="2" t="s">
        <v>1070</v>
      </c>
      <c r="K263" s="2"/>
      <c r="L263" s="2" t="s">
        <v>588</v>
      </c>
      <c r="M263" s="2" t="s">
        <v>891</v>
      </c>
      <c r="N263" s="2" t="s">
        <v>1066</v>
      </c>
      <c r="O263" s="2" t="s">
        <v>893</v>
      </c>
    </row>
    <row r="264" spans="1:15" ht="28.5">
      <c r="A264" s="2" t="s">
        <v>1071</v>
      </c>
      <c r="B264" s="2" t="s">
        <v>76</v>
      </c>
      <c r="C264" s="2" t="s">
        <v>584</v>
      </c>
      <c r="D264" s="2" t="s">
        <v>81</v>
      </c>
      <c r="E264" s="2" t="s">
        <v>886</v>
      </c>
      <c r="F264" s="2" t="s">
        <v>1072</v>
      </c>
      <c r="G264" s="2" t="s">
        <v>920</v>
      </c>
      <c r="H264" s="2" t="s">
        <v>888</v>
      </c>
      <c r="I264" s="2" t="s">
        <v>1073</v>
      </c>
      <c r="J264" s="2" t="s">
        <v>1074</v>
      </c>
      <c r="K264" s="2"/>
      <c r="L264" s="2" t="s">
        <v>588</v>
      </c>
      <c r="M264" s="2" t="s">
        <v>891</v>
      </c>
      <c r="N264" s="2" t="s">
        <v>1066</v>
      </c>
      <c r="O264" s="2" t="s">
        <v>893</v>
      </c>
    </row>
    <row r="265" spans="1:15" ht="28.5">
      <c r="A265" s="2" t="s">
        <v>1075</v>
      </c>
      <c r="B265" s="2" t="s">
        <v>76</v>
      </c>
      <c r="C265" s="2" t="s">
        <v>584</v>
      </c>
      <c r="D265" s="2" t="s">
        <v>81</v>
      </c>
      <c r="E265" s="2" t="s">
        <v>886</v>
      </c>
      <c r="F265" s="2" t="s">
        <v>1076</v>
      </c>
      <c r="G265" s="2" t="s">
        <v>496</v>
      </c>
      <c r="H265" s="2" t="s">
        <v>888</v>
      </c>
      <c r="I265" s="2" t="s">
        <v>1077</v>
      </c>
      <c r="J265" s="2" t="s">
        <v>1078</v>
      </c>
      <c r="K265" s="2"/>
      <c r="L265" s="2" t="s">
        <v>588</v>
      </c>
      <c r="M265" s="2" t="s">
        <v>891</v>
      </c>
      <c r="N265" s="2" t="s">
        <v>1066</v>
      </c>
      <c r="O265" s="2" t="s">
        <v>893</v>
      </c>
    </row>
    <row r="266" spans="1:15" ht="28.5">
      <c r="A266" s="2" t="s">
        <v>1079</v>
      </c>
      <c r="B266" s="2" t="s">
        <v>93</v>
      </c>
      <c r="C266" s="2" t="s">
        <v>584</v>
      </c>
      <c r="D266" s="2" t="s">
        <v>96</v>
      </c>
      <c r="E266" s="2" t="s">
        <v>886</v>
      </c>
      <c r="F266" s="2" t="s">
        <v>1080</v>
      </c>
      <c r="G266" s="2" t="s">
        <v>496</v>
      </c>
      <c r="H266" s="2" t="s">
        <v>888</v>
      </c>
      <c r="I266" s="2" t="s">
        <v>1081</v>
      </c>
      <c r="J266" s="2" t="s">
        <v>1082</v>
      </c>
      <c r="K266" s="2"/>
      <c r="L266" s="2" t="s">
        <v>635</v>
      </c>
      <c r="M266" s="2" t="s">
        <v>891</v>
      </c>
      <c r="N266" s="2" t="s">
        <v>1066</v>
      </c>
      <c r="O266" s="2" t="s">
        <v>893</v>
      </c>
    </row>
    <row r="267" spans="1:15" ht="28.5">
      <c r="A267" s="2" t="s">
        <v>1083</v>
      </c>
      <c r="B267" s="2" t="s">
        <v>93</v>
      </c>
      <c r="C267" s="2" t="s">
        <v>584</v>
      </c>
      <c r="D267" s="2" t="s">
        <v>96</v>
      </c>
      <c r="E267" s="2" t="s">
        <v>886</v>
      </c>
      <c r="F267" s="2" t="s">
        <v>1084</v>
      </c>
      <c r="G267" s="2" t="s">
        <v>940</v>
      </c>
      <c r="H267" s="2" t="s">
        <v>888</v>
      </c>
      <c r="I267" s="2" t="s">
        <v>1085</v>
      </c>
      <c r="J267" s="2" t="s">
        <v>1086</v>
      </c>
      <c r="K267" s="2"/>
      <c r="L267" s="2" t="s">
        <v>635</v>
      </c>
      <c r="M267" s="2" t="s">
        <v>891</v>
      </c>
      <c r="N267" s="2" t="s">
        <v>1066</v>
      </c>
      <c r="O267" s="2" t="s">
        <v>893</v>
      </c>
    </row>
    <row r="268" spans="1:15" ht="28.5">
      <c r="A268" s="2" t="s">
        <v>1087</v>
      </c>
      <c r="B268" s="2" t="s">
        <v>93</v>
      </c>
      <c r="C268" s="2" t="s">
        <v>584</v>
      </c>
      <c r="D268" s="2" t="s">
        <v>96</v>
      </c>
      <c r="E268" s="2" t="s">
        <v>886</v>
      </c>
      <c r="F268" s="2" t="s">
        <v>1088</v>
      </c>
      <c r="G268" s="2" t="s">
        <v>496</v>
      </c>
      <c r="H268" s="2" t="s">
        <v>888</v>
      </c>
      <c r="I268" s="2" t="s">
        <v>1089</v>
      </c>
      <c r="J268" s="2" t="s">
        <v>1090</v>
      </c>
      <c r="K268" s="2"/>
      <c r="L268" s="2" t="s">
        <v>635</v>
      </c>
      <c r="M268" s="2" t="s">
        <v>891</v>
      </c>
      <c r="N268" s="2" t="s">
        <v>1066</v>
      </c>
      <c r="O268" s="2" t="s">
        <v>893</v>
      </c>
    </row>
    <row r="269" spans="1:15" ht="28.5">
      <c r="A269" s="2" t="s">
        <v>1091</v>
      </c>
      <c r="B269" s="2" t="s">
        <v>107</v>
      </c>
      <c r="C269" s="2" t="s">
        <v>584</v>
      </c>
      <c r="D269" s="2" t="s">
        <v>109</v>
      </c>
      <c r="E269" s="2" t="s">
        <v>886</v>
      </c>
      <c r="F269" s="2" t="s">
        <v>1092</v>
      </c>
      <c r="G269" s="2" t="s">
        <v>496</v>
      </c>
      <c r="H269" s="2" t="s">
        <v>888</v>
      </c>
      <c r="I269" s="2" t="s">
        <v>1093</v>
      </c>
      <c r="J269" s="2" t="s">
        <v>1094</v>
      </c>
      <c r="K269" s="2"/>
      <c r="L269" s="2" t="s">
        <v>635</v>
      </c>
      <c r="M269" s="2" t="s">
        <v>891</v>
      </c>
      <c r="N269" s="2" t="s">
        <v>1066</v>
      </c>
      <c r="O269" s="2" t="s">
        <v>893</v>
      </c>
    </row>
    <row r="270" spans="1:15" ht="28.5">
      <c r="A270" s="2" t="s">
        <v>1095</v>
      </c>
      <c r="B270" s="2" t="s">
        <v>110</v>
      </c>
      <c r="C270" s="2" t="s">
        <v>584</v>
      </c>
      <c r="D270" s="2" t="s">
        <v>113</v>
      </c>
      <c r="E270" s="2" t="s">
        <v>886</v>
      </c>
      <c r="F270" s="2" t="s">
        <v>1096</v>
      </c>
      <c r="G270" s="2" t="s">
        <v>960</v>
      </c>
      <c r="H270" s="2" t="s">
        <v>888</v>
      </c>
      <c r="I270" s="2" t="s">
        <v>1097</v>
      </c>
      <c r="J270" s="2" t="s">
        <v>1098</v>
      </c>
      <c r="K270" s="2"/>
      <c r="L270" s="2" t="s">
        <v>635</v>
      </c>
      <c r="M270" s="2" t="s">
        <v>891</v>
      </c>
      <c r="N270" s="2" t="s">
        <v>1066</v>
      </c>
      <c r="O270" s="2" t="s">
        <v>893</v>
      </c>
    </row>
    <row r="271" spans="1:15" ht="28.5">
      <c r="A271" s="2" t="s">
        <v>1099</v>
      </c>
      <c r="B271" s="2" t="s">
        <v>110</v>
      </c>
      <c r="C271" s="2" t="s">
        <v>584</v>
      </c>
      <c r="D271" s="2" t="s">
        <v>113</v>
      </c>
      <c r="E271" s="2" t="s">
        <v>886</v>
      </c>
      <c r="F271" s="2" t="s">
        <v>1100</v>
      </c>
      <c r="G271" s="2" t="s">
        <v>960</v>
      </c>
      <c r="H271" s="2" t="s">
        <v>888</v>
      </c>
      <c r="I271" s="2" t="s">
        <v>1089</v>
      </c>
      <c r="J271" s="2" t="s">
        <v>1101</v>
      </c>
      <c r="K271" s="2"/>
      <c r="L271" s="2" t="s">
        <v>635</v>
      </c>
      <c r="M271" s="2" t="s">
        <v>891</v>
      </c>
      <c r="N271" s="2" t="s">
        <v>1066</v>
      </c>
      <c r="O271" s="2" t="s">
        <v>893</v>
      </c>
    </row>
    <row r="272" spans="1:15" ht="28.5">
      <c r="A272" s="2" t="s">
        <v>1102</v>
      </c>
      <c r="B272" s="2" t="s">
        <v>110</v>
      </c>
      <c r="C272" s="2" t="s">
        <v>584</v>
      </c>
      <c r="D272" s="2" t="s">
        <v>113</v>
      </c>
      <c r="E272" s="2" t="s">
        <v>886</v>
      </c>
      <c r="F272" s="2" t="s">
        <v>1103</v>
      </c>
      <c r="G272" s="2" t="s">
        <v>940</v>
      </c>
      <c r="H272" s="2" t="s">
        <v>888</v>
      </c>
      <c r="I272" s="2" t="s">
        <v>1064</v>
      </c>
      <c r="J272" s="2" t="s">
        <v>746</v>
      </c>
      <c r="K272" s="2"/>
      <c r="L272" s="2" t="s">
        <v>588</v>
      </c>
      <c r="M272" s="2" t="s">
        <v>891</v>
      </c>
      <c r="N272" s="2" t="s">
        <v>1066</v>
      </c>
      <c r="O272" s="2" t="s">
        <v>893</v>
      </c>
    </row>
    <row r="273" spans="1:15" ht="42.75">
      <c r="A273" s="2" t="s">
        <v>1104</v>
      </c>
      <c r="B273" s="2" t="s">
        <v>122</v>
      </c>
      <c r="C273" s="2" t="s">
        <v>584</v>
      </c>
      <c r="D273" s="2" t="s">
        <v>125</v>
      </c>
      <c r="E273" s="2" t="s">
        <v>886</v>
      </c>
      <c r="F273" s="2" t="s">
        <v>1105</v>
      </c>
      <c r="G273" s="2" t="s">
        <v>1106</v>
      </c>
      <c r="H273" s="2" t="s">
        <v>888</v>
      </c>
      <c r="I273" s="2" t="s">
        <v>1089</v>
      </c>
      <c r="J273" s="2" t="s">
        <v>1107</v>
      </c>
      <c r="K273" s="2"/>
      <c r="L273" s="2" t="s">
        <v>635</v>
      </c>
      <c r="M273" s="2" t="s">
        <v>891</v>
      </c>
      <c r="N273" s="2" t="s">
        <v>1066</v>
      </c>
      <c r="O273" s="2" t="s">
        <v>893</v>
      </c>
    </row>
    <row r="274" spans="1:15" ht="28.5">
      <c r="A274" s="2" t="s">
        <v>1108</v>
      </c>
      <c r="B274" s="2" t="s">
        <v>122</v>
      </c>
      <c r="C274" s="2" t="s">
        <v>584</v>
      </c>
      <c r="D274" s="2" t="s">
        <v>125</v>
      </c>
      <c r="E274" s="2" t="s">
        <v>886</v>
      </c>
      <c r="F274" s="2" t="s">
        <v>1109</v>
      </c>
      <c r="G274" s="2" t="s">
        <v>933</v>
      </c>
      <c r="H274" s="2" t="s">
        <v>888</v>
      </c>
      <c r="I274" s="2" t="s">
        <v>1089</v>
      </c>
      <c r="J274" s="2" t="s">
        <v>1110</v>
      </c>
      <c r="K274" s="2"/>
      <c r="L274" s="2" t="s">
        <v>635</v>
      </c>
      <c r="M274" s="2" t="s">
        <v>891</v>
      </c>
      <c r="N274" s="2" t="s">
        <v>1066</v>
      </c>
      <c r="O274" s="2" t="s">
        <v>893</v>
      </c>
    </row>
    <row r="275" spans="1:15" ht="28.5">
      <c r="A275" s="2" t="s">
        <v>1111</v>
      </c>
      <c r="B275" s="2" t="s">
        <v>139</v>
      </c>
      <c r="C275" s="2" t="s">
        <v>584</v>
      </c>
      <c r="D275" s="2" t="s">
        <v>144</v>
      </c>
      <c r="E275" s="2" t="s">
        <v>886</v>
      </c>
      <c r="F275" s="2" t="s">
        <v>1112</v>
      </c>
      <c r="G275" s="2" t="s">
        <v>916</v>
      </c>
      <c r="H275" s="2" t="s">
        <v>888</v>
      </c>
      <c r="I275" s="2" t="s">
        <v>1113</v>
      </c>
      <c r="J275" s="2" t="s">
        <v>1114</v>
      </c>
      <c r="K275" s="2"/>
      <c r="L275" s="2" t="s">
        <v>635</v>
      </c>
      <c r="M275" s="2" t="s">
        <v>891</v>
      </c>
      <c r="N275" s="2" t="s">
        <v>1066</v>
      </c>
      <c r="O275" s="2" t="s">
        <v>893</v>
      </c>
    </row>
    <row r="276" spans="1:15" ht="28.5">
      <c r="A276" s="2" t="s">
        <v>1115</v>
      </c>
      <c r="B276" s="2" t="s">
        <v>139</v>
      </c>
      <c r="C276" s="2" t="s">
        <v>584</v>
      </c>
      <c r="D276" s="2" t="s">
        <v>144</v>
      </c>
      <c r="E276" s="2" t="s">
        <v>886</v>
      </c>
      <c r="F276" s="2" t="s">
        <v>1116</v>
      </c>
      <c r="G276" s="2" t="s">
        <v>905</v>
      </c>
      <c r="H276" s="2" t="s">
        <v>888</v>
      </c>
      <c r="I276" s="2" t="s">
        <v>1117</v>
      </c>
      <c r="J276" s="2" t="s">
        <v>1118</v>
      </c>
      <c r="K276" s="2"/>
      <c r="L276" s="2" t="s">
        <v>588</v>
      </c>
      <c r="M276" s="2" t="s">
        <v>891</v>
      </c>
      <c r="N276" s="2" t="s">
        <v>1066</v>
      </c>
      <c r="O276" s="2" t="s">
        <v>893</v>
      </c>
    </row>
    <row r="277" spans="1:15" ht="28.5">
      <c r="A277" s="2" t="s">
        <v>1119</v>
      </c>
      <c r="B277" s="2" t="s">
        <v>139</v>
      </c>
      <c r="C277" s="2" t="s">
        <v>584</v>
      </c>
      <c r="D277" s="2" t="s">
        <v>144</v>
      </c>
      <c r="E277" s="2" t="s">
        <v>886</v>
      </c>
      <c r="F277" s="2" t="s">
        <v>1120</v>
      </c>
      <c r="G277" s="2" t="s">
        <v>916</v>
      </c>
      <c r="H277" s="2" t="s">
        <v>888</v>
      </c>
      <c r="I277" s="2" t="s">
        <v>1121</v>
      </c>
      <c r="J277" s="2" t="s">
        <v>1122</v>
      </c>
      <c r="K277" s="2"/>
      <c r="L277" s="2" t="s">
        <v>635</v>
      </c>
      <c r="M277" s="2" t="s">
        <v>891</v>
      </c>
      <c r="N277" s="2" t="s">
        <v>1066</v>
      </c>
      <c r="O277" s="2" t="s">
        <v>893</v>
      </c>
    </row>
    <row r="278" spans="1:15" ht="42.75">
      <c r="A278" s="2" t="s">
        <v>1123</v>
      </c>
      <c r="B278" s="2" t="s">
        <v>153</v>
      </c>
      <c r="C278" s="2" t="s">
        <v>584</v>
      </c>
      <c r="D278" s="2" t="s">
        <v>156</v>
      </c>
      <c r="E278" s="2" t="s">
        <v>886</v>
      </c>
      <c r="F278" s="2" t="s">
        <v>1124</v>
      </c>
      <c r="G278" s="2" t="s">
        <v>496</v>
      </c>
      <c r="H278" s="2" t="s">
        <v>888</v>
      </c>
      <c r="I278" s="2" t="s">
        <v>1089</v>
      </c>
      <c r="J278" s="2" t="s">
        <v>1125</v>
      </c>
      <c r="K278" s="2"/>
      <c r="L278" s="2" t="s">
        <v>635</v>
      </c>
      <c r="M278" s="2" t="s">
        <v>891</v>
      </c>
      <c r="N278" s="2" t="s">
        <v>1066</v>
      </c>
      <c r="O278" s="2" t="s">
        <v>893</v>
      </c>
    </row>
    <row r="279" spans="1:15" ht="57">
      <c r="A279" s="2" t="s">
        <v>1126</v>
      </c>
      <c r="B279" s="2" t="s">
        <v>153</v>
      </c>
      <c r="C279" s="2" t="s">
        <v>584</v>
      </c>
      <c r="D279" s="2" t="s">
        <v>156</v>
      </c>
      <c r="E279" s="2" t="s">
        <v>886</v>
      </c>
      <c r="F279" s="2" t="s">
        <v>1127</v>
      </c>
      <c r="G279" s="2" t="s">
        <v>1128</v>
      </c>
      <c r="H279" s="2" t="s">
        <v>888</v>
      </c>
      <c r="I279" s="2" t="s">
        <v>1089</v>
      </c>
      <c r="J279" s="2" t="s">
        <v>1129</v>
      </c>
      <c r="K279" s="2"/>
      <c r="L279" s="2" t="s">
        <v>635</v>
      </c>
      <c r="M279" s="2" t="s">
        <v>891</v>
      </c>
      <c r="N279" s="2" t="s">
        <v>1066</v>
      </c>
      <c r="O279" s="2" t="s">
        <v>893</v>
      </c>
    </row>
    <row r="280" spans="1:15" ht="42.75">
      <c r="A280" s="2" t="s">
        <v>1130</v>
      </c>
      <c r="B280" s="2" t="s">
        <v>164</v>
      </c>
      <c r="C280" s="2" t="s">
        <v>584</v>
      </c>
      <c r="D280" s="2" t="s">
        <v>168</v>
      </c>
      <c r="E280" s="2" t="s">
        <v>886</v>
      </c>
      <c r="F280" s="2" t="s">
        <v>1131</v>
      </c>
      <c r="G280" s="2" t="s">
        <v>916</v>
      </c>
      <c r="H280" s="2" t="s">
        <v>888</v>
      </c>
      <c r="I280" s="2" t="s">
        <v>1089</v>
      </c>
      <c r="J280" s="2" t="s">
        <v>1132</v>
      </c>
      <c r="K280" s="2"/>
      <c r="L280" s="2" t="s">
        <v>635</v>
      </c>
      <c r="M280" s="2" t="s">
        <v>891</v>
      </c>
      <c r="N280" s="2" t="s">
        <v>1066</v>
      </c>
      <c r="O280" s="2" t="s">
        <v>893</v>
      </c>
    </row>
    <row r="281" spans="1:15" ht="28.5">
      <c r="A281" s="2" t="s">
        <v>1133</v>
      </c>
      <c r="B281" s="2" t="s">
        <v>164</v>
      </c>
      <c r="C281" s="2" t="s">
        <v>584</v>
      </c>
      <c r="D281" s="2" t="s">
        <v>168</v>
      </c>
      <c r="E281" s="2" t="s">
        <v>886</v>
      </c>
      <c r="F281" s="2" t="s">
        <v>1134</v>
      </c>
      <c r="G281" s="2" t="s">
        <v>496</v>
      </c>
      <c r="H281" s="2" t="s">
        <v>888</v>
      </c>
      <c r="I281" s="2" t="s">
        <v>1089</v>
      </c>
      <c r="J281" s="2" t="s">
        <v>1135</v>
      </c>
      <c r="K281" s="2"/>
      <c r="L281" s="2" t="s">
        <v>635</v>
      </c>
      <c r="M281" s="2" t="s">
        <v>891</v>
      </c>
      <c r="N281" s="2" t="s">
        <v>1066</v>
      </c>
      <c r="O281" s="2" t="s">
        <v>893</v>
      </c>
    </row>
    <row r="282" spans="1:15" ht="28.5">
      <c r="A282" s="2" t="s">
        <v>1136</v>
      </c>
      <c r="B282" s="2" t="s">
        <v>164</v>
      </c>
      <c r="C282" s="2" t="s">
        <v>584</v>
      </c>
      <c r="D282" s="2" t="s">
        <v>168</v>
      </c>
      <c r="E282" s="2" t="s">
        <v>886</v>
      </c>
      <c r="F282" s="2" t="s">
        <v>1137</v>
      </c>
      <c r="G282" s="2" t="s">
        <v>960</v>
      </c>
      <c r="H282" s="2" t="s">
        <v>888</v>
      </c>
      <c r="I282" s="2" t="s">
        <v>1089</v>
      </c>
      <c r="J282" s="2" t="s">
        <v>1138</v>
      </c>
      <c r="K282" s="2"/>
      <c r="L282" s="2" t="s">
        <v>635</v>
      </c>
      <c r="M282" s="2" t="s">
        <v>891</v>
      </c>
      <c r="N282" s="2" t="s">
        <v>1066</v>
      </c>
      <c r="O282" s="2" t="s">
        <v>893</v>
      </c>
    </row>
    <row r="283" spans="1:15" ht="42.75">
      <c r="A283" s="2" t="s">
        <v>1139</v>
      </c>
      <c r="B283" s="2" t="s">
        <v>173</v>
      </c>
      <c r="C283" s="2" t="s">
        <v>584</v>
      </c>
      <c r="D283" s="2" t="s">
        <v>175</v>
      </c>
      <c r="E283" s="2" t="s">
        <v>886</v>
      </c>
      <c r="F283" s="2" t="s">
        <v>1140</v>
      </c>
      <c r="G283" s="2" t="s">
        <v>1141</v>
      </c>
      <c r="H283" s="2" t="s">
        <v>888</v>
      </c>
      <c r="I283" s="2" t="s">
        <v>1142</v>
      </c>
      <c r="J283" s="2" t="s">
        <v>1143</v>
      </c>
      <c r="K283" s="2"/>
      <c r="L283" s="2" t="s">
        <v>635</v>
      </c>
      <c r="M283" s="2" t="s">
        <v>891</v>
      </c>
      <c r="N283" s="2" t="s">
        <v>1066</v>
      </c>
      <c r="O283" s="2" t="s">
        <v>893</v>
      </c>
    </row>
    <row r="284" spans="1:15" ht="28.5">
      <c r="A284" s="2" t="s">
        <v>1144</v>
      </c>
      <c r="B284" s="2"/>
      <c r="C284" s="2" t="s">
        <v>1145</v>
      </c>
      <c r="D284" s="2" t="s">
        <v>165</v>
      </c>
      <c r="E284" s="2" t="s">
        <v>886</v>
      </c>
      <c r="F284" s="2" t="s">
        <v>1146</v>
      </c>
      <c r="G284" s="2" t="s">
        <v>1147</v>
      </c>
      <c r="H284" s="2" t="s">
        <v>888</v>
      </c>
      <c r="I284" s="2" t="s">
        <v>1089</v>
      </c>
      <c r="J284" s="2" t="s">
        <v>1148</v>
      </c>
      <c r="K284" s="2"/>
      <c r="L284" s="2" t="s">
        <v>635</v>
      </c>
      <c r="M284" s="2" t="s">
        <v>891</v>
      </c>
      <c r="N284" s="2" t="s">
        <v>1066</v>
      </c>
      <c r="O284" s="2" t="s">
        <v>893</v>
      </c>
    </row>
    <row r="285" spans="1:15" ht="42.75">
      <c r="A285" s="2" t="s">
        <v>1149</v>
      </c>
      <c r="B285" s="2"/>
      <c r="C285" s="2" t="s">
        <v>1145</v>
      </c>
      <c r="D285" s="2" t="s">
        <v>165</v>
      </c>
      <c r="E285" s="2" t="s">
        <v>886</v>
      </c>
      <c r="F285" s="2" t="s">
        <v>1150</v>
      </c>
      <c r="G285" s="2" t="s">
        <v>1151</v>
      </c>
      <c r="H285" s="2" t="s">
        <v>888</v>
      </c>
      <c r="I285" s="2" t="s">
        <v>1089</v>
      </c>
      <c r="J285" s="2" t="s">
        <v>1152</v>
      </c>
      <c r="K285" s="2"/>
      <c r="L285" s="2" t="s">
        <v>635</v>
      </c>
      <c r="M285" s="2" t="s">
        <v>891</v>
      </c>
      <c r="N285" s="2" t="s">
        <v>1066</v>
      </c>
      <c r="O285" s="2" t="s">
        <v>893</v>
      </c>
    </row>
    <row r="286" spans="1:15" ht="28.5">
      <c r="A286" s="2" t="s">
        <v>1153</v>
      </c>
      <c r="B286" s="2" t="s">
        <v>187</v>
      </c>
      <c r="C286" s="2" t="s">
        <v>584</v>
      </c>
      <c r="D286" s="2" t="s">
        <v>189</v>
      </c>
      <c r="E286" s="2" t="s">
        <v>886</v>
      </c>
      <c r="F286" s="2" t="s">
        <v>1154</v>
      </c>
      <c r="G286" s="2" t="s">
        <v>496</v>
      </c>
      <c r="H286" s="2" t="s">
        <v>888</v>
      </c>
      <c r="I286" s="2" t="s">
        <v>1155</v>
      </c>
      <c r="J286" s="2" t="s">
        <v>1156</v>
      </c>
      <c r="K286" s="2"/>
      <c r="L286" s="2" t="s">
        <v>588</v>
      </c>
      <c r="M286" s="2" t="s">
        <v>891</v>
      </c>
      <c r="N286" s="2" t="s">
        <v>1066</v>
      </c>
      <c r="O286" s="2" t="s">
        <v>893</v>
      </c>
    </row>
    <row r="287" spans="1:15" ht="28.5">
      <c r="A287" s="2" t="s">
        <v>1157</v>
      </c>
      <c r="B287" s="2" t="s">
        <v>187</v>
      </c>
      <c r="C287" s="2" t="s">
        <v>584</v>
      </c>
      <c r="D287" s="2" t="s">
        <v>189</v>
      </c>
      <c r="E287" s="2" t="s">
        <v>886</v>
      </c>
      <c r="F287" s="2" t="s">
        <v>1158</v>
      </c>
      <c r="G287" s="2" t="s">
        <v>1159</v>
      </c>
      <c r="H287" s="2" t="s">
        <v>888</v>
      </c>
      <c r="I287" s="2" t="s">
        <v>1089</v>
      </c>
      <c r="J287" s="2" t="s">
        <v>1152</v>
      </c>
      <c r="K287" s="2"/>
      <c r="L287" s="2" t="s">
        <v>635</v>
      </c>
      <c r="M287" s="2" t="s">
        <v>891</v>
      </c>
      <c r="N287" s="2" t="s">
        <v>1066</v>
      </c>
      <c r="O287" s="2" t="s">
        <v>893</v>
      </c>
    </row>
    <row r="288" spans="1:15" ht="85.5">
      <c r="A288" s="2" t="s">
        <v>1160</v>
      </c>
      <c r="B288" s="2" t="s">
        <v>190</v>
      </c>
      <c r="C288" s="2" t="s">
        <v>584</v>
      </c>
      <c r="D288" s="2" t="s">
        <v>196</v>
      </c>
      <c r="E288" s="2" t="s">
        <v>886</v>
      </c>
      <c r="F288" s="2" t="s">
        <v>1161</v>
      </c>
      <c r="G288" s="2" t="s">
        <v>900</v>
      </c>
      <c r="H288" s="2" t="s">
        <v>888</v>
      </c>
      <c r="I288" s="2" t="s">
        <v>1089</v>
      </c>
      <c r="J288" s="2" t="s">
        <v>1162</v>
      </c>
      <c r="K288" s="2"/>
      <c r="L288" s="2" t="s">
        <v>635</v>
      </c>
      <c r="M288" s="2" t="s">
        <v>891</v>
      </c>
      <c r="N288" s="2" t="s">
        <v>1066</v>
      </c>
      <c r="O288" s="2" t="s">
        <v>893</v>
      </c>
    </row>
    <row r="289" spans="1:15" ht="42.75">
      <c r="A289" s="2" t="s">
        <v>1163</v>
      </c>
      <c r="B289" s="2" t="s">
        <v>190</v>
      </c>
      <c r="C289" s="2" t="s">
        <v>584</v>
      </c>
      <c r="D289" s="2" t="s">
        <v>196</v>
      </c>
      <c r="E289" s="2" t="s">
        <v>886</v>
      </c>
      <c r="F289" s="2" t="s">
        <v>1164</v>
      </c>
      <c r="G289" s="2" t="s">
        <v>916</v>
      </c>
      <c r="H289" s="2" t="s">
        <v>888</v>
      </c>
      <c r="I289" s="2" t="s">
        <v>1165</v>
      </c>
      <c r="J289" s="2" t="s">
        <v>1166</v>
      </c>
      <c r="K289" s="2"/>
      <c r="L289" s="2" t="s">
        <v>635</v>
      </c>
      <c r="M289" s="2" t="s">
        <v>891</v>
      </c>
      <c r="N289" s="2" t="s">
        <v>1066</v>
      </c>
      <c r="O289" s="2" t="s">
        <v>893</v>
      </c>
    </row>
    <row r="290" spans="1:15" ht="57">
      <c r="A290" s="2" t="s">
        <v>1167</v>
      </c>
      <c r="B290" s="2" t="s">
        <v>200</v>
      </c>
      <c r="C290" s="2" t="s">
        <v>584</v>
      </c>
      <c r="D290" s="2" t="s">
        <v>203</v>
      </c>
      <c r="E290" s="2" t="s">
        <v>886</v>
      </c>
      <c r="F290" s="2" t="s">
        <v>1168</v>
      </c>
      <c r="G290" s="2" t="s">
        <v>1169</v>
      </c>
      <c r="H290" s="2" t="s">
        <v>888</v>
      </c>
      <c r="I290" s="2" t="s">
        <v>1170</v>
      </c>
      <c r="J290" s="2" t="s">
        <v>1171</v>
      </c>
      <c r="K290" s="2"/>
      <c r="L290" s="2" t="s">
        <v>635</v>
      </c>
      <c r="M290" s="2" t="s">
        <v>891</v>
      </c>
      <c r="N290" s="2" t="s">
        <v>1066</v>
      </c>
      <c r="O290" s="2" t="s">
        <v>893</v>
      </c>
    </row>
    <row r="291" spans="1:15" ht="42.75">
      <c r="A291" s="2" t="s">
        <v>1172</v>
      </c>
      <c r="B291" s="2" t="s">
        <v>200</v>
      </c>
      <c r="C291" s="2" t="s">
        <v>584</v>
      </c>
      <c r="D291" s="2" t="s">
        <v>203</v>
      </c>
      <c r="E291" s="2" t="s">
        <v>886</v>
      </c>
      <c r="F291" s="2" t="s">
        <v>1173</v>
      </c>
      <c r="G291" s="2" t="s">
        <v>1169</v>
      </c>
      <c r="H291" s="2" t="s">
        <v>888</v>
      </c>
      <c r="I291" s="2" t="s">
        <v>1121</v>
      </c>
      <c r="J291" s="2" t="s">
        <v>1174</v>
      </c>
      <c r="K291" s="2"/>
      <c r="L291" s="2" t="s">
        <v>635</v>
      </c>
      <c r="M291" s="2" t="s">
        <v>891</v>
      </c>
      <c r="N291" s="2" t="s">
        <v>1066</v>
      </c>
      <c r="O291" s="2" t="s">
        <v>893</v>
      </c>
    </row>
    <row r="292" spans="1:15" ht="99.75">
      <c r="A292" s="2" t="s">
        <v>1175</v>
      </c>
      <c r="B292" s="2" t="s">
        <v>208</v>
      </c>
      <c r="C292" s="2" t="s">
        <v>584</v>
      </c>
      <c r="D292" s="2" t="s">
        <v>211</v>
      </c>
      <c r="E292" s="2" t="s">
        <v>886</v>
      </c>
      <c r="F292" s="2" t="s">
        <v>1176</v>
      </c>
      <c r="G292" s="2" t="s">
        <v>1177</v>
      </c>
      <c r="H292" s="2" t="s">
        <v>888</v>
      </c>
      <c r="I292" s="2" t="s">
        <v>1178</v>
      </c>
      <c r="J292" s="2" t="s">
        <v>1179</v>
      </c>
      <c r="K292" s="2"/>
      <c r="L292" s="2" t="s">
        <v>588</v>
      </c>
      <c r="M292" s="2" t="s">
        <v>891</v>
      </c>
      <c r="N292" s="2" t="s">
        <v>1066</v>
      </c>
      <c r="O292" s="2" t="s">
        <v>893</v>
      </c>
    </row>
    <row r="293" spans="1:15" ht="28.5">
      <c r="A293" s="2" t="s">
        <v>1180</v>
      </c>
      <c r="B293" s="2" t="s">
        <v>208</v>
      </c>
      <c r="C293" s="2" t="s">
        <v>584</v>
      </c>
      <c r="D293" s="2" t="s">
        <v>211</v>
      </c>
      <c r="E293" s="2" t="s">
        <v>886</v>
      </c>
      <c r="F293" s="2" t="s">
        <v>1181</v>
      </c>
      <c r="G293" s="2" t="s">
        <v>916</v>
      </c>
      <c r="H293" s="2" t="s">
        <v>888</v>
      </c>
      <c r="I293" s="2" t="s">
        <v>1089</v>
      </c>
      <c r="J293" s="2" t="s">
        <v>1182</v>
      </c>
      <c r="K293" s="2"/>
      <c r="L293" s="2" t="s">
        <v>635</v>
      </c>
      <c r="M293" s="2" t="s">
        <v>891</v>
      </c>
      <c r="N293" s="2" t="s">
        <v>1066</v>
      </c>
      <c r="O293" s="2" t="s">
        <v>893</v>
      </c>
    </row>
    <row r="294" spans="1:15" ht="42.75">
      <c r="A294" s="2" t="s">
        <v>1183</v>
      </c>
      <c r="B294" s="2" t="s">
        <v>214</v>
      </c>
      <c r="C294" s="2" t="s">
        <v>584</v>
      </c>
      <c r="D294" s="2" t="s">
        <v>218</v>
      </c>
      <c r="E294" s="2" t="s">
        <v>886</v>
      </c>
      <c r="F294" s="2" t="s">
        <v>1184</v>
      </c>
      <c r="G294" s="2" t="s">
        <v>1059</v>
      </c>
      <c r="H294" s="2" t="s">
        <v>888</v>
      </c>
      <c r="I294" s="2" t="s">
        <v>1089</v>
      </c>
      <c r="J294" s="2" t="s">
        <v>1185</v>
      </c>
      <c r="K294" s="2"/>
      <c r="L294" s="2" t="s">
        <v>635</v>
      </c>
      <c r="M294" s="2" t="s">
        <v>891</v>
      </c>
      <c r="N294" s="2" t="s">
        <v>1066</v>
      </c>
      <c r="O294" s="2" t="s">
        <v>893</v>
      </c>
    </row>
    <row r="295" spans="1:15" ht="42.75">
      <c r="A295" s="2" t="s">
        <v>1186</v>
      </c>
      <c r="B295" s="2" t="s">
        <v>214</v>
      </c>
      <c r="C295" s="2" t="s">
        <v>584</v>
      </c>
      <c r="D295" s="2" t="s">
        <v>218</v>
      </c>
      <c r="E295" s="2" t="s">
        <v>886</v>
      </c>
      <c r="F295" s="2" t="s">
        <v>1187</v>
      </c>
      <c r="G295" s="2" t="s">
        <v>940</v>
      </c>
      <c r="H295" s="2" t="s">
        <v>888</v>
      </c>
      <c r="I295" s="2" t="s">
        <v>1089</v>
      </c>
      <c r="J295" s="2" t="s">
        <v>1188</v>
      </c>
      <c r="K295" s="2"/>
      <c r="L295" s="2" t="s">
        <v>635</v>
      </c>
      <c r="M295" s="2" t="s">
        <v>891</v>
      </c>
      <c r="N295" s="2" t="s">
        <v>1066</v>
      </c>
      <c r="O295" s="2" t="s">
        <v>893</v>
      </c>
    </row>
    <row r="296" spans="1:15" ht="42.75">
      <c r="A296" s="2" t="s">
        <v>1189</v>
      </c>
      <c r="B296" s="2" t="s">
        <v>222</v>
      </c>
      <c r="C296" s="2" t="s">
        <v>584</v>
      </c>
      <c r="D296" s="2" t="s">
        <v>227</v>
      </c>
      <c r="E296" s="2" t="s">
        <v>886</v>
      </c>
      <c r="F296" s="2" t="s">
        <v>1190</v>
      </c>
      <c r="G296" s="2" t="s">
        <v>1191</v>
      </c>
      <c r="H296" s="2" t="s">
        <v>888</v>
      </c>
      <c r="I296" s="2" t="s">
        <v>1089</v>
      </c>
      <c r="J296" s="2" t="s">
        <v>1192</v>
      </c>
      <c r="K296" s="2"/>
      <c r="L296" s="2" t="s">
        <v>635</v>
      </c>
      <c r="M296" s="2" t="s">
        <v>891</v>
      </c>
      <c r="N296" s="2" t="s">
        <v>1066</v>
      </c>
      <c r="O296" s="2" t="s">
        <v>893</v>
      </c>
    </row>
    <row r="297" spans="1:15" ht="42.75">
      <c r="A297" s="2" t="s">
        <v>1193</v>
      </c>
      <c r="B297" s="2" t="s">
        <v>222</v>
      </c>
      <c r="C297" s="2" t="s">
        <v>584</v>
      </c>
      <c r="D297" s="2" t="s">
        <v>227</v>
      </c>
      <c r="E297" s="2" t="s">
        <v>886</v>
      </c>
      <c r="F297" s="2" t="s">
        <v>1194</v>
      </c>
      <c r="G297" s="2" t="s">
        <v>1195</v>
      </c>
      <c r="H297" s="2" t="s">
        <v>888</v>
      </c>
      <c r="I297" s="2" t="s">
        <v>1121</v>
      </c>
      <c r="J297" s="2" t="s">
        <v>1196</v>
      </c>
      <c r="K297" s="2"/>
      <c r="L297" s="2" t="s">
        <v>635</v>
      </c>
      <c r="M297" s="2" t="s">
        <v>891</v>
      </c>
      <c r="N297" s="2" t="s">
        <v>1066</v>
      </c>
      <c r="O297" s="2" t="s">
        <v>893</v>
      </c>
    </row>
    <row r="298" spans="1:15" ht="42.75">
      <c r="A298" s="2" t="s">
        <v>1197</v>
      </c>
      <c r="B298" s="2" t="s">
        <v>234</v>
      </c>
      <c r="C298" s="2" t="s">
        <v>584</v>
      </c>
      <c r="D298" s="2" t="s">
        <v>237</v>
      </c>
      <c r="E298" s="2" t="s">
        <v>886</v>
      </c>
      <c r="F298" s="2" t="s">
        <v>1198</v>
      </c>
      <c r="G298" s="2" t="s">
        <v>905</v>
      </c>
      <c r="H298" s="2" t="s">
        <v>888</v>
      </c>
      <c r="I298" s="2" t="s">
        <v>1199</v>
      </c>
      <c r="J298" s="2" t="s">
        <v>1200</v>
      </c>
      <c r="K298" s="2"/>
      <c r="L298" s="2" t="s">
        <v>635</v>
      </c>
      <c r="M298" s="2" t="s">
        <v>891</v>
      </c>
      <c r="N298" s="2" t="s">
        <v>1066</v>
      </c>
      <c r="O298" s="2" t="s">
        <v>893</v>
      </c>
    </row>
    <row r="299" spans="1:15" ht="28.5">
      <c r="A299" s="2" t="s">
        <v>1201</v>
      </c>
      <c r="B299" s="2" t="s">
        <v>234</v>
      </c>
      <c r="C299" s="2" t="s">
        <v>584</v>
      </c>
      <c r="D299" s="2" t="s">
        <v>237</v>
      </c>
      <c r="E299" s="2" t="s">
        <v>886</v>
      </c>
      <c r="F299" s="2" t="s">
        <v>1202</v>
      </c>
      <c r="G299" s="2" t="s">
        <v>496</v>
      </c>
      <c r="H299" s="2" t="s">
        <v>888</v>
      </c>
      <c r="I299" s="2" t="s">
        <v>1121</v>
      </c>
      <c r="J299" s="2" t="s">
        <v>1203</v>
      </c>
      <c r="K299" s="2"/>
      <c r="L299" s="2" t="s">
        <v>635</v>
      </c>
      <c r="M299" s="2" t="s">
        <v>891</v>
      </c>
      <c r="N299" s="2" t="s">
        <v>1066</v>
      </c>
      <c r="O299" s="2" t="s">
        <v>893</v>
      </c>
    </row>
    <row r="300" spans="1:15" ht="42.75">
      <c r="A300" s="2" t="s">
        <v>1204</v>
      </c>
      <c r="B300" s="2" t="s">
        <v>234</v>
      </c>
      <c r="C300" s="2" t="s">
        <v>584</v>
      </c>
      <c r="D300" s="2" t="s">
        <v>237</v>
      </c>
      <c r="E300" s="2" t="s">
        <v>886</v>
      </c>
      <c r="F300" s="2" t="s">
        <v>1205</v>
      </c>
      <c r="G300" s="2" t="s">
        <v>916</v>
      </c>
      <c r="H300" s="2" t="s">
        <v>888</v>
      </c>
      <c r="I300" s="2" t="s">
        <v>1121</v>
      </c>
      <c r="J300" s="2" t="s">
        <v>1206</v>
      </c>
      <c r="K300" s="2"/>
      <c r="L300" s="2" t="s">
        <v>635</v>
      </c>
      <c r="M300" s="2" t="s">
        <v>891</v>
      </c>
      <c r="N300" s="2" t="s">
        <v>1066</v>
      </c>
      <c r="O300" s="2" t="s">
        <v>893</v>
      </c>
    </row>
    <row r="301" spans="1:15" ht="28.5">
      <c r="A301" s="2" t="s">
        <v>1207</v>
      </c>
      <c r="B301" s="2" t="s">
        <v>241</v>
      </c>
      <c r="C301" s="2" t="s">
        <v>584</v>
      </c>
      <c r="D301" s="2" t="s">
        <v>244</v>
      </c>
      <c r="E301" s="2" t="s">
        <v>886</v>
      </c>
      <c r="F301" s="2" t="s">
        <v>1208</v>
      </c>
      <c r="G301" s="2" t="s">
        <v>916</v>
      </c>
      <c r="H301" s="2" t="s">
        <v>888</v>
      </c>
      <c r="I301" s="2" t="s">
        <v>1209</v>
      </c>
      <c r="J301" s="2" t="s">
        <v>1210</v>
      </c>
      <c r="K301" s="2"/>
      <c r="L301" s="2" t="s">
        <v>588</v>
      </c>
      <c r="M301" s="2" t="s">
        <v>891</v>
      </c>
      <c r="N301" s="2" t="s">
        <v>1066</v>
      </c>
      <c r="O301" s="2" t="s">
        <v>893</v>
      </c>
    </row>
    <row r="302" spans="1:15" ht="42.75">
      <c r="A302" s="2" t="s">
        <v>1211</v>
      </c>
      <c r="B302" s="2" t="s">
        <v>241</v>
      </c>
      <c r="C302" s="2" t="s">
        <v>584</v>
      </c>
      <c r="D302" s="2" t="s">
        <v>244</v>
      </c>
      <c r="E302" s="2" t="s">
        <v>886</v>
      </c>
      <c r="F302" s="2" t="s">
        <v>1212</v>
      </c>
      <c r="G302" s="2" t="s">
        <v>496</v>
      </c>
      <c r="H302" s="2" t="s">
        <v>888</v>
      </c>
      <c r="I302" s="2" t="s">
        <v>1089</v>
      </c>
      <c r="J302" s="2" t="s">
        <v>1213</v>
      </c>
      <c r="K302" s="2"/>
      <c r="L302" s="2" t="s">
        <v>635</v>
      </c>
      <c r="M302" s="2" t="s">
        <v>891</v>
      </c>
      <c r="N302" s="2" t="s">
        <v>1066</v>
      </c>
      <c r="O302" s="2" t="s">
        <v>893</v>
      </c>
    </row>
    <row r="303" spans="1:15" ht="28.5">
      <c r="A303" s="2" t="s">
        <v>1214</v>
      </c>
      <c r="B303" s="2" t="s">
        <v>241</v>
      </c>
      <c r="C303" s="2" t="s">
        <v>584</v>
      </c>
      <c r="D303" s="2" t="s">
        <v>244</v>
      </c>
      <c r="E303" s="2" t="s">
        <v>886</v>
      </c>
      <c r="F303" s="2" t="s">
        <v>1215</v>
      </c>
      <c r="G303" s="2" t="s">
        <v>496</v>
      </c>
      <c r="H303" s="2" t="s">
        <v>888</v>
      </c>
      <c r="I303" s="2" t="s">
        <v>1089</v>
      </c>
      <c r="J303" s="2" t="s">
        <v>1216</v>
      </c>
      <c r="K303" s="2"/>
      <c r="L303" s="2" t="s">
        <v>635</v>
      </c>
      <c r="M303" s="2" t="s">
        <v>891</v>
      </c>
      <c r="N303" s="2" t="s">
        <v>1066</v>
      </c>
      <c r="O303" s="2" t="s">
        <v>893</v>
      </c>
    </row>
    <row r="304" spans="1:15" ht="28.5">
      <c r="A304" s="2" t="s">
        <v>1217</v>
      </c>
      <c r="B304" s="2" t="s">
        <v>241</v>
      </c>
      <c r="C304" s="2" t="s">
        <v>584</v>
      </c>
      <c r="D304" s="2" t="s">
        <v>244</v>
      </c>
      <c r="E304" s="2" t="s">
        <v>886</v>
      </c>
      <c r="F304" s="2" t="s">
        <v>1218</v>
      </c>
      <c r="G304" s="2" t="s">
        <v>1059</v>
      </c>
      <c r="H304" s="2" t="s">
        <v>888</v>
      </c>
      <c r="I304" s="2" t="s">
        <v>1121</v>
      </c>
      <c r="J304" s="2" t="s">
        <v>1219</v>
      </c>
      <c r="K304" s="2"/>
      <c r="L304" s="2" t="s">
        <v>635</v>
      </c>
      <c r="M304" s="2" t="s">
        <v>891</v>
      </c>
      <c r="N304" s="2" t="s">
        <v>1066</v>
      </c>
      <c r="O304" s="2" t="s">
        <v>893</v>
      </c>
    </row>
    <row r="305" spans="1:15" ht="28.5">
      <c r="A305" s="2" t="s">
        <v>1220</v>
      </c>
      <c r="B305" s="2" t="s">
        <v>247</v>
      </c>
      <c r="C305" s="2" t="s">
        <v>584</v>
      </c>
      <c r="D305" s="2" t="s">
        <v>250</v>
      </c>
      <c r="E305" s="2" t="s">
        <v>886</v>
      </c>
      <c r="F305" s="2" t="s">
        <v>1221</v>
      </c>
      <c r="G305" s="2" t="s">
        <v>916</v>
      </c>
      <c r="H305" s="2" t="s">
        <v>888</v>
      </c>
      <c r="I305" s="2" t="s">
        <v>1113</v>
      </c>
      <c r="J305" s="2" t="s">
        <v>1222</v>
      </c>
      <c r="K305" s="2"/>
      <c r="L305" s="2" t="s">
        <v>635</v>
      </c>
      <c r="M305" s="2" t="s">
        <v>891</v>
      </c>
      <c r="N305" s="2" t="s">
        <v>1066</v>
      </c>
      <c r="O305" s="2" t="s">
        <v>893</v>
      </c>
    </row>
    <row r="306" spans="1:15" ht="28.5">
      <c r="A306" s="2" t="s">
        <v>1223</v>
      </c>
      <c r="B306" s="2" t="s">
        <v>247</v>
      </c>
      <c r="C306" s="2" t="s">
        <v>584</v>
      </c>
      <c r="D306" s="2" t="s">
        <v>250</v>
      </c>
      <c r="E306" s="2" t="s">
        <v>886</v>
      </c>
      <c r="F306" s="2" t="s">
        <v>1224</v>
      </c>
      <c r="G306" s="2" t="s">
        <v>916</v>
      </c>
      <c r="H306" s="2" t="s">
        <v>888</v>
      </c>
      <c r="I306" s="2" t="s">
        <v>1089</v>
      </c>
      <c r="J306" s="2" t="s">
        <v>1225</v>
      </c>
      <c r="K306" s="2"/>
      <c r="L306" s="2" t="s">
        <v>635</v>
      </c>
      <c r="M306" s="2" t="s">
        <v>891</v>
      </c>
      <c r="N306" s="2" t="s">
        <v>1066</v>
      </c>
      <c r="O306" s="2" t="s">
        <v>893</v>
      </c>
    </row>
    <row r="307" spans="1:15" ht="28.5">
      <c r="A307" s="2" t="s">
        <v>1226</v>
      </c>
      <c r="B307" s="2" t="s">
        <v>253</v>
      </c>
      <c r="C307" s="2" t="s">
        <v>584</v>
      </c>
      <c r="D307" s="2" t="s">
        <v>256</v>
      </c>
      <c r="E307" s="2" t="s">
        <v>886</v>
      </c>
      <c r="F307" s="2" t="s">
        <v>1227</v>
      </c>
      <c r="G307" s="2" t="s">
        <v>916</v>
      </c>
      <c r="H307" s="2" t="s">
        <v>888</v>
      </c>
      <c r="I307" s="2" t="s">
        <v>1089</v>
      </c>
      <c r="J307" s="2" t="s">
        <v>1228</v>
      </c>
      <c r="K307" s="2"/>
      <c r="L307" s="2" t="s">
        <v>635</v>
      </c>
      <c r="M307" s="2" t="s">
        <v>891</v>
      </c>
      <c r="N307" s="2" t="s">
        <v>1066</v>
      </c>
      <c r="O307" s="2" t="s">
        <v>893</v>
      </c>
    </row>
    <row r="308" spans="1:15" ht="28.5">
      <c r="A308" s="2" t="s">
        <v>1229</v>
      </c>
      <c r="B308" s="2" t="s">
        <v>253</v>
      </c>
      <c r="C308" s="2" t="s">
        <v>584</v>
      </c>
      <c r="D308" s="2" t="s">
        <v>256</v>
      </c>
      <c r="E308" s="2" t="s">
        <v>886</v>
      </c>
      <c r="F308" s="2" t="s">
        <v>1230</v>
      </c>
      <c r="G308" s="2" t="s">
        <v>1059</v>
      </c>
      <c r="H308" s="2" t="s">
        <v>888</v>
      </c>
      <c r="I308" s="2" t="s">
        <v>1089</v>
      </c>
      <c r="J308" s="2" t="s">
        <v>1231</v>
      </c>
      <c r="K308" s="2"/>
      <c r="L308" s="2" t="s">
        <v>635</v>
      </c>
      <c r="M308" s="2" t="s">
        <v>891</v>
      </c>
      <c r="N308" s="2" t="s">
        <v>1066</v>
      </c>
      <c r="O308" s="2" t="s">
        <v>893</v>
      </c>
    </row>
    <row r="309" spans="1:15" ht="71.25">
      <c r="A309" s="2" t="s">
        <v>1232</v>
      </c>
      <c r="B309" s="2"/>
      <c r="C309" s="2" t="s">
        <v>1145</v>
      </c>
      <c r="D309" s="2" t="s">
        <v>262</v>
      </c>
      <c r="E309" s="2" t="s">
        <v>886</v>
      </c>
      <c r="F309" s="2" t="s">
        <v>1233</v>
      </c>
      <c r="G309" s="2" t="s">
        <v>960</v>
      </c>
      <c r="H309" s="2" t="s">
        <v>888</v>
      </c>
      <c r="I309" s="2" t="s">
        <v>1234</v>
      </c>
      <c r="J309" s="2" t="s">
        <v>1235</v>
      </c>
      <c r="K309" s="2"/>
      <c r="L309" s="2" t="s">
        <v>588</v>
      </c>
      <c r="M309" s="2" t="s">
        <v>891</v>
      </c>
      <c r="N309" s="2" t="s">
        <v>1066</v>
      </c>
      <c r="O309" s="2" t="s">
        <v>893</v>
      </c>
    </row>
    <row r="310" spans="1:15" ht="42.75">
      <c r="A310" s="2" t="s">
        <v>1236</v>
      </c>
      <c r="B310" s="2"/>
      <c r="C310" s="2" t="s">
        <v>1145</v>
      </c>
      <c r="D310" s="2" t="s">
        <v>262</v>
      </c>
      <c r="E310" s="2" t="s">
        <v>886</v>
      </c>
      <c r="F310" s="2" t="s">
        <v>1237</v>
      </c>
      <c r="G310" s="2" t="s">
        <v>496</v>
      </c>
      <c r="H310" s="2" t="s">
        <v>888</v>
      </c>
      <c r="I310" s="2" t="s">
        <v>1089</v>
      </c>
      <c r="J310" s="2" t="s">
        <v>1238</v>
      </c>
      <c r="K310" s="2"/>
      <c r="L310" s="2" t="s">
        <v>635</v>
      </c>
      <c r="M310" s="2" t="s">
        <v>891</v>
      </c>
      <c r="N310" s="2" t="s">
        <v>1066</v>
      </c>
      <c r="O310" s="2" t="s">
        <v>893</v>
      </c>
    </row>
    <row r="311" spans="1:15" ht="42.75">
      <c r="A311" s="2" t="s">
        <v>1239</v>
      </c>
      <c r="B311" s="2" t="s">
        <v>272</v>
      </c>
      <c r="C311" s="2" t="s">
        <v>584</v>
      </c>
      <c r="D311" s="2" t="s">
        <v>275</v>
      </c>
      <c r="E311" s="2" t="s">
        <v>886</v>
      </c>
      <c r="F311" s="2" t="s">
        <v>1240</v>
      </c>
      <c r="G311" s="2" t="s">
        <v>916</v>
      </c>
      <c r="H311" s="2" t="s">
        <v>888</v>
      </c>
      <c r="I311" s="2" t="s">
        <v>1089</v>
      </c>
      <c r="J311" s="2" t="s">
        <v>1241</v>
      </c>
      <c r="K311" s="2"/>
      <c r="L311" s="2" t="s">
        <v>635</v>
      </c>
      <c r="M311" s="2" t="s">
        <v>891</v>
      </c>
      <c r="N311" s="2" t="s">
        <v>1066</v>
      </c>
      <c r="O311" s="2" t="s">
        <v>893</v>
      </c>
    </row>
    <row r="312" spans="1:15" ht="42.75">
      <c r="A312" s="2" t="s">
        <v>1242</v>
      </c>
      <c r="B312" s="2" t="s">
        <v>272</v>
      </c>
      <c r="C312" s="2" t="s">
        <v>584</v>
      </c>
      <c r="D312" s="2" t="s">
        <v>275</v>
      </c>
      <c r="E312" s="2" t="s">
        <v>886</v>
      </c>
      <c r="F312" s="2" t="s">
        <v>1243</v>
      </c>
      <c r="G312" s="2" t="s">
        <v>496</v>
      </c>
      <c r="H312" s="2" t="s">
        <v>888</v>
      </c>
      <c r="I312" s="2" t="s">
        <v>1089</v>
      </c>
      <c r="J312" s="2" t="s">
        <v>1244</v>
      </c>
      <c r="K312" s="2"/>
      <c r="L312" s="2" t="s">
        <v>635</v>
      </c>
      <c r="M312" s="2" t="s">
        <v>891</v>
      </c>
      <c r="N312" s="2" t="s">
        <v>1066</v>
      </c>
      <c r="O312" s="2" t="s">
        <v>893</v>
      </c>
    </row>
    <row r="313" spans="1:15" ht="99.75">
      <c r="A313" s="2" t="s">
        <v>1245</v>
      </c>
      <c r="B313" s="2" t="s">
        <v>277</v>
      </c>
      <c r="C313" s="2" t="s">
        <v>584</v>
      </c>
      <c r="D313" s="2" t="s">
        <v>280</v>
      </c>
      <c r="E313" s="2" t="s">
        <v>886</v>
      </c>
      <c r="F313" s="2" t="s">
        <v>1246</v>
      </c>
      <c r="G313" s="2" t="s">
        <v>1247</v>
      </c>
      <c r="H313" s="2" t="s">
        <v>888</v>
      </c>
      <c r="I313" s="2" t="s">
        <v>1089</v>
      </c>
      <c r="J313" s="2" t="s">
        <v>1248</v>
      </c>
      <c r="K313" s="2"/>
      <c r="L313" s="2" t="s">
        <v>635</v>
      </c>
      <c r="M313" s="2" t="s">
        <v>891</v>
      </c>
      <c r="N313" s="2" t="s">
        <v>1066</v>
      </c>
      <c r="O313" s="2" t="s">
        <v>893</v>
      </c>
    </row>
    <row r="314" spans="1:15" ht="85.5">
      <c r="A314" s="2" t="s">
        <v>1249</v>
      </c>
      <c r="B314" s="2" t="s">
        <v>277</v>
      </c>
      <c r="C314" s="2" t="s">
        <v>584</v>
      </c>
      <c r="D314" s="2" t="s">
        <v>280</v>
      </c>
      <c r="E314" s="2" t="s">
        <v>886</v>
      </c>
      <c r="F314" s="2" t="s">
        <v>1250</v>
      </c>
      <c r="G314" s="2" t="s">
        <v>1015</v>
      </c>
      <c r="H314" s="2" t="s">
        <v>888</v>
      </c>
      <c r="I314" s="2" t="s">
        <v>1089</v>
      </c>
      <c r="J314" s="2" t="s">
        <v>1251</v>
      </c>
      <c r="K314" s="2"/>
      <c r="L314" s="2" t="s">
        <v>635</v>
      </c>
      <c r="M314" s="2" t="s">
        <v>891</v>
      </c>
      <c r="N314" s="2" t="s">
        <v>1066</v>
      </c>
      <c r="O314" s="2" t="s">
        <v>893</v>
      </c>
    </row>
    <row r="315" spans="1:15" ht="28.5">
      <c r="A315" s="2" t="s">
        <v>1252</v>
      </c>
      <c r="B315" s="2" t="s">
        <v>284</v>
      </c>
      <c r="C315" s="2" t="s">
        <v>584</v>
      </c>
      <c r="D315" s="2" t="s">
        <v>286</v>
      </c>
      <c r="E315" s="2" t="s">
        <v>886</v>
      </c>
      <c r="F315" s="2" t="s">
        <v>1253</v>
      </c>
      <c r="G315" s="2" t="s">
        <v>905</v>
      </c>
      <c r="H315" s="2" t="s">
        <v>888</v>
      </c>
      <c r="I315" s="2" t="s">
        <v>1089</v>
      </c>
      <c r="J315" s="2" t="s">
        <v>1254</v>
      </c>
      <c r="K315" s="2"/>
      <c r="L315" s="2" t="s">
        <v>635</v>
      </c>
      <c r="M315" s="2" t="s">
        <v>891</v>
      </c>
      <c r="N315" s="2" t="s">
        <v>1066</v>
      </c>
      <c r="O315" s="2" t="s">
        <v>893</v>
      </c>
    </row>
    <row r="316" spans="1:15" ht="28.5">
      <c r="A316" s="2" t="s">
        <v>1255</v>
      </c>
      <c r="B316" s="2" t="s">
        <v>284</v>
      </c>
      <c r="C316" s="2" t="s">
        <v>584</v>
      </c>
      <c r="D316" s="2" t="s">
        <v>286</v>
      </c>
      <c r="E316" s="2" t="s">
        <v>886</v>
      </c>
      <c r="F316" s="2" t="s">
        <v>1256</v>
      </c>
      <c r="G316" s="2" t="s">
        <v>1195</v>
      </c>
      <c r="H316" s="2" t="s">
        <v>888</v>
      </c>
      <c r="I316" s="2" t="s">
        <v>1121</v>
      </c>
      <c r="J316" s="2" t="s">
        <v>1257</v>
      </c>
      <c r="K316" s="2"/>
      <c r="L316" s="2" t="s">
        <v>635</v>
      </c>
      <c r="M316" s="2" t="s">
        <v>891</v>
      </c>
      <c r="N316" s="2" t="s">
        <v>1066</v>
      </c>
      <c r="O316" s="2" t="s">
        <v>893</v>
      </c>
    </row>
    <row r="317" spans="1:15" ht="28.5">
      <c r="A317" s="2" t="s">
        <v>1258</v>
      </c>
      <c r="B317" s="2" t="s">
        <v>290</v>
      </c>
      <c r="C317" s="2" t="s">
        <v>584</v>
      </c>
      <c r="D317" s="2" t="s">
        <v>291</v>
      </c>
      <c r="E317" s="2" t="s">
        <v>886</v>
      </c>
      <c r="F317" s="2" t="s">
        <v>1259</v>
      </c>
      <c r="G317" s="2" t="s">
        <v>539</v>
      </c>
      <c r="H317" s="2" t="s">
        <v>888</v>
      </c>
      <c r="I317" s="2" t="s">
        <v>1089</v>
      </c>
      <c r="J317" s="2" t="s">
        <v>1260</v>
      </c>
      <c r="K317" s="2"/>
      <c r="L317" s="2" t="s">
        <v>635</v>
      </c>
      <c r="M317" s="2" t="s">
        <v>891</v>
      </c>
      <c r="N317" s="2" t="s">
        <v>1066</v>
      </c>
      <c r="O317" s="2" t="s">
        <v>893</v>
      </c>
    </row>
    <row r="318" spans="1:15" ht="28.5">
      <c r="A318" s="2" t="s">
        <v>1261</v>
      </c>
      <c r="B318" s="2" t="s">
        <v>292</v>
      </c>
      <c r="C318" s="2" t="s">
        <v>584</v>
      </c>
      <c r="D318" s="2" t="s">
        <v>296</v>
      </c>
      <c r="E318" s="2" t="s">
        <v>886</v>
      </c>
      <c r="F318" s="2" t="s">
        <v>1262</v>
      </c>
      <c r="G318" s="2" t="s">
        <v>496</v>
      </c>
      <c r="H318" s="2" t="s">
        <v>888</v>
      </c>
      <c r="I318" s="2" t="s">
        <v>1089</v>
      </c>
      <c r="J318" s="2" t="s">
        <v>1263</v>
      </c>
      <c r="K318" s="2"/>
      <c r="L318" s="2" t="s">
        <v>635</v>
      </c>
      <c r="M318" s="2" t="s">
        <v>891</v>
      </c>
      <c r="N318" s="2" t="s">
        <v>1066</v>
      </c>
      <c r="O318" s="2" t="s">
        <v>893</v>
      </c>
    </row>
    <row r="319" spans="1:15" ht="42.75">
      <c r="A319" s="2" t="s">
        <v>1264</v>
      </c>
      <c r="B319" s="2" t="s">
        <v>292</v>
      </c>
      <c r="C319" s="2" t="s">
        <v>584</v>
      </c>
      <c r="D319" s="2" t="s">
        <v>296</v>
      </c>
      <c r="E319" s="2" t="s">
        <v>886</v>
      </c>
      <c r="F319" s="2" t="s">
        <v>1265</v>
      </c>
      <c r="G319" s="2" t="s">
        <v>944</v>
      </c>
      <c r="H319" s="2" t="s">
        <v>888</v>
      </c>
      <c r="I319" s="2" t="s">
        <v>1089</v>
      </c>
      <c r="J319" s="2" t="s">
        <v>1266</v>
      </c>
      <c r="K319" s="2"/>
      <c r="L319" s="2" t="s">
        <v>635</v>
      </c>
      <c r="M319" s="2" t="s">
        <v>891</v>
      </c>
      <c r="N319" s="2" t="s">
        <v>1066</v>
      </c>
      <c r="O319" s="2" t="s">
        <v>893</v>
      </c>
    </row>
    <row r="320" spans="1:15" ht="28.5">
      <c r="A320" s="2" t="s">
        <v>1267</v>
      </c>
      <c r="B320" s="2" t="s">
        <v>299</v>
      </c>
      <c r="C320" s="2" t="s">
        <v>584</v>
      </c>
      <c r="D320" s="2" t="s">
        <v>301</v>
      </c>
      <c r="E320" s="2" t="s">
        <v>886</v>
      </c>
      <c r="F320" s="2" t="s">
        <v>1268</v>
      </c>
      <c r="G320" s="2" t="s">
        <v>905</v>
      </c>
      <c r="H320" s="2" t="s">
        <v>888</v>
      </c>
      <c r="I320" s="2" t="s">
        <v>1089</v>
      </c>
      <c r="J320" s="2" t="s">
        <v>1269</v>
      </c>
      <c r="K320" s="2"/>
      <c r="L320" s="2" t="s">
        <v>635</v>
      </c>
      <c r="M320" s="2" t="s">
        <v>891</v>
      </c>
      <c r="N320" s="2" t="s">
        <v>1066</v>
      </c>
      <c r="O320" s="2" t="s">
        <v>893</v>
      </c>
    </row>
    <row r="321" spans="1:15" ht="42.75">
      <c r="A321" s="2" t="s">
        <v>1270</v>
      </c>
      <c r="B321" s="2" t="s">
        <v>307</v>
      </c>
      <c r="C321" s="2" t="s">
        <v>584</v>
      </c>
      <c r="D321" s="2" t="s">
        <v>308</v>
      </c>
      <c r="E321" s="2" t="s">
        <v>886</v>
      </c>
      <c r="F321" s="2" t="s">
        <v>1271</v>
      </c>
      <c r="G321" s="2" t="s">
        <v>920</v>
      </c>
      <c r="H321" s="2" t="s">
        <v>888</v>
      </c>
      <c r="I321" s="2" t="s">
        <v>1089</v>
      </c>
      <c r="J321" s="2" t="s">
        <v>1272</v>
      </c>
      <c r="K321" s="2"/>
      <c r="L321" s="2" t="s">
        <v>635</v>
      </c>
      <c r="M321" s="2" t="s">
        <v>891</v>
      </c>
      <c r="N321" s="2" t="s">
        <v>1066</v>
      </c>
      <c r="O321" s="2" t="s">
        <v>893</v>
      </c>
    </row>
    <row r="322" spans="1:15" ht="28.5">
      <c r="A322" s="2" t="s">
        <v>1273</v>
      </c>
      <c r="B322" s="2" t="s">
        <v>307</v>
      </c>
      <c r="C322" s="2" t="s">
        <v>584</v>
      </c>
      <c r="D322" s="2" t="s">
        <v>308</v>
      </c>
      <c r="E322" s="2" t="s">
        <v>886</v>
      </c>
      <c r="F322" s="2" t="s">
        <v>1274</v>
      </c>
      <c r="G322" s="2" t="s">
        <v>905</v>
      </c>
      <c r="H322" s="2" t="s">
        <v>888</v>
      </c>
      <c r="I322" s="2" t="s">
        <v>1121</v>
      </c>
      <c r="J322" s="2" t="s">
        <v>1275</v>
      </c>
      <c r="K322" s="2"/>
      <c r="L322" s="2" t="s">
        <v>635</v>
      </c>
      <c r="M322" s="2" t="s">
        <v>891</v>
      </c>
      <c r="N322" s="2" t="s">
        <v>1066</v>
      </c>
      <c r="O322" s="2" t="s">
        <v>893</v>
      </c>
    </row>
    <row r="323" spans="1:15" ht="42.75">
      <c r="A323" s="2" t="s">
        <v>1276</v>
      </c>
      <c r="B323" s="2" t="s">
        <v>309</v>
      </c>
      <c r="C323" s="2" t="s">
        <v>584</v>
      </c>
      <c r="D323" s="2" t="s">
        <v>314</v>
      </c>
      <c r="E323" s="2" t="s">
        <v>886</v>
      </c>
      <c r="F323" s="2" t="s">
        <v>1277</v>
      </c>
      <c r="G323" s="2" t="s">
        <v>916</v>
      </c>
      <c r="H323" s="2" t="s">
        <v>888</v>
      </c>
      <c r="I323" s="2" t="s">
        <v>1121</v>
      </c>
      <c r="J323" s="2" t="s">
        <v>1278</v>
      </c>
      <c r="K323" s="2"/>
      <c r="L323" s="2" t="s">
        <v>635</v>
      </c>
      <c r="M323" s="2" t="s">
        <v>891</v>
      </c>
      <c r="N323" s="2" t="s">
        <v>1066</v>
      </c>
      <c r="O323" s="2" t="s">
        <v>893</v>
      </c>
    </row>
    <row r="324" spans="1:15" ht="28.5">
      <c r="A324" s="2" t="s">
        <v>1279</v>
      </c>
      <c r="B324" s="2" t="s">
        <v>318</v>
      </c>
      <c r="C324" s="2" t="s">
        <v>584</v>
      </c>
      <c r="D324" s="2" t="s">
        <v>321</v>
      </c>
      <c r="E324" s="2" t="s">
        <v>886</v>
      </c>
      <c r="F324" s="2" t="s">
        <v>1280</v>
      </c>
      <c r="G324" s="2" t="s">
        <v>1281</v>
      </c>
      <c r="H324" s="2" t="s">
        <v>888</v>
      </c>
      <c r="I324" s="2" t="s">
        <v>1089</v>
      </c>
      <c r="J324" s="2" t="s">
        <v>1282</v>
      </c>
      <c r="K324" s="2"/>
      <c r="L324" s="2" t="s">
        <v>635</v>
      </c>
      <c r="M324" s="2" t="s">
        <v>891</v>
      </c>
      <c r="N324" s="2" t="s">
        <v>1066</v>
      </c>
      <c r="O324" s="2" t="s">
        <v>893</v>
      </c>
    </row>
    <row r="325" spans="1:15" ht="42.75">
      <c r="A325" s="2" t="s">
        <v>1283</v>
      </c>
      <c r="B325" s="2" t="s">
        <v>318</v>
      </c>
      <c r="C325" s="2" t="s">
        <v>584</v>
      </c>
      <c r="D325" s="2" t="s">
        <v>321</v>
      </c>
      <c r="E325" s="2" t="s">
        <v>886</v>
      </c>
      <c r="F325" s="2" t="s">
        <v>1284</v>
      </c>
      <c r="G325" s="2" t="s">
        <v>496</v>
      </c>
      <c r="H325" s="2" t="s">
        <v>888</v>
      </c>
      <c r="I325" s="2" t="s">
        <v>1089</v>
      </c>
      <c r="J325" s="2" t="s">
        <v>1285</v>
      </c>
      <c r="K325" s="2"/>
      <c r="L325" s="2" t="s">
        <v>635</v>
      </c>
      <c r="M325" s="2" t="s">
        <v>891</v>
      </c>
      <c r="N325" s="2" t="s">
        <v>1066</v>
      </c>
      <c r="O325" s="2" t="s">
        <v>893</v>
      </c>
    </row>
    <row r="326" spans="1:15" ht="28.5">
      <c r="A326" s="2" t="s">
        <v>1286</v>
      </c>
      <c r="B326" s="2" t="s">
        <v>318</v>
      </c>
      <c r="C326" s="2" t="s">
        <v>584</v>
      </c>
      <c r="D326" s="2" t="s">
        <v>321</v>
      </c>
      <c r="E326" s="2" t="s">
        <v>886</v>
      </c>
      <c r="F326" s="2" t="s">
        <v>1287</v>
      </c>
      <c r="G326" s="2" t="s">
        <v>496</v>
      </c>
      <c r="H326" s="2" t="s">
        <v>888</v>
      </c>
      <c r="I326" s="2" t="s">
        <v>1121</v>
      </c>
      <c r="J326" s="2" t="s">
        <v>1288</v>
      </c>
      <c r="K326" s="2"/>
      <c r="L326" s="2" t="s">
        <v>635</v>
      </c>
      <c r="M326" s="2" t="s">
        <v>891</v>
      </c>
      <c r="N326" s="2" t="s">
        <v>1066</v>
      </c>
      <c r="O326" s="2" t="s">
        <v>893</v>
      </c>
    </row>
    <row r="327" spans="1:15" ht="42.75">
      <c r="A327" s="2" t="s">
        <v>1289</v>
      </c>
      <c r="B327" s="2" t="s">
        <v>324</v>
      </c>
      <c r="C327" s="2" t="s">
        <v>584</v>
      </c>
      <c r="D327" s="2" t="s">
        <v>326</v>
      </c>
      <c r="E327" s="2" t="s">
        <v>886</v>
      </c>
      <c r="F327" s="2" t="s">
        <v>1290</v>
      </c>
      <c r="G327" s="2" t="s">
        <v>496</v>
      </c>
      <c r="H327" s="2" t="s">
        <v>888</v>
      </c>
      <c r="I327" s="2" t="s">
        <v>1089</v>
      </c>
      <c r="J327" s="2" t="s">
        <v>1291</v>
      </c>
      <c r="K327" s="2"/>
      <c r="L327" s="2" t="s">
        <v>635</v>
      </c>
      <c r="M327" s="2" t="s">
        <v>891</v>
      </c>
      <c r="N327" s="2" t="s">
        <v>1066</v>
      </c>
      <c r="O327" s="2" t="s">
        <v>893</v>
      </c>
    </row>
    <row r="328" spans="1:15" ht="28.5">
      <c r="A328" s="2" t="s">
        <v>1292</v>
      </c>
      <c r="B328" s="2" t="s">
        <v>324</v>
      </c>
      <c r="C328" s="2" t="s">
        <v>584</v>
      </c>
      <c r="D328" s="2" t="s">
        <v>326</v>
      </c>
      <c r="E328" s="2" t="s">
        <v>886</v>
      </c>
      <c r="F328" s="2" t="s">
        <v>1293</v>
      </c>
      <c r="G328" s="2" t="s">
        <v>1294</v>
      </c>
      <c r="H328" s="2" t="s">
        <v>888</v>
      </c>
      <c r="I328" s="2" t="s">
        <v>1121</v>
      </c>
      <c r="J328" s="2" t="s">
        <v>1295</v>
      </c>
      <c r="K328" s="2"/>
      <c r="L328" s="2" t="s">
        <v>635</v>
      </c>
      <c r="M328" s="2" t="s">
        <v>891</v>
      </c>
      <c r="N328" s="2" t="s">
        <v>1066</v>
      </c>
      <c r="O328" s="2" t="s">
        <v>893</v>
      </c>
    </row>
    <row r="329" spans="1:15" ht="42.75">
      <c r="A329" s="2" t="s">
        <v>1296</v>
      </c>
      <c r="B329" s="2" t="s">
        <v>329</v>
      </c>
      <c r="C329" s="2" t="s">
        <v>584</v>
      </c>
      <c r="D329" s="2" t="s">
        <v>331</v>
      </c>
      <c r="E329" s="2" t="s">
        <v>886</v>
      </c>
      <c r="F329" s="2" t="s">
        <v>1297</v>
      </c>
      <c r="G329" s="2" t="s">
        <v>496</v>
      </c>
      <c r="H329" s="2" t="s">
        <v>888</v>
      </c>
      <c r="I329" s="2" t="s">
        <v>1089</v>
      </c>
      <c r="J329" s="2" t="s">
        <v>1298</v>
      </c>
      <c r="K329" s="2"/>
      <c r="L329" s="2" t="s">
        <v>635</v>
      </c>
      <c r="M329" s="2" t="s">
        <v>891</v>
      </c>
      <c r="N329" s="2" t="s">
        <v>1066</v>
      </c>
      <c r="O329" s="2" t="s">
        <v>893</v>
      </c>
    </row>
    <row r="330" spans="1:15" ht="28.5">
      <c r="A330" s="2" t="s">
        <v>1299</v>
      </c>
      <c r="B330" s="2" t="s">
        <v>329</v>
      </c>
      <c r="C330" s="2" t="s">
        <v>584</v>
      </c>
      <c r="D330" s="2" t="s">
        <v>331</v>
      </c>
      <c r="E330" s="2" t="s">
        <v>886</v>
      </c>
      <c r="F330" s="2" t="s">
        <v>1300</v>
      </c>
      <c r="G330" s="2" t="s">
        <v>960</v>
      </c>
      <c r="H330" s="2" t="s">
        <v>888</v>
      </c>
      <c r="I330" s="2" t="s">
        <v>1301</v>
      </c>
      <c r="J330" s="2" t="s">
        <v>1302</v>
      </c>
      <c r="K330" s="2"/>
      <c r="L330" s="2" t="s">
        <v>588</v>
      </c>
      <c r="M330" s="2" t="s">
        <v>891</v>
      </c>
      <c r="N330" s="2" t="s">
        <v>1066</v>
      </c>
      <c r="O330" s="2" t="s">
        <v>893</v>
      </c>
    </row>
    <row r="331" spans="1:15" ht="42.75">
      <c r="A331" s="2" t="s">
        <v>1303</v>
      </c>
      <c r="B331" s="2" t="s">
        <v>335</v>
      </c>
      <c r="C331" s="2" t="s">
        <v>584</v>
      </c>
      <c r="D331" s="2" t="s">
        <v>337</v>
      </c>
      <c r="E331" s="2" t="s">
        <v>886</v>
      </c>
      <c r="F331" s="2" t="s">
        <v>1304</v>
      </c>
      <c r="G331" s="2" t="s">
        <v>496</v>
      </c>
      <c r="H331" s="2" t="s">
        <v>888</v>
      </c>
      <c r="I331" s="2" t="s">
        <v>1089</v>
      </c>
      <c r="J331" s="2" t="s">
        <v>1305</v>
      </c>
      <c r="K331" s="2"/>
      <c r="L331" s="2" t="s">
        <v>635</v>
      </c>
      <c r="M331" s="2" t="s">
        <v>891</v>
      </c>
      <c r="N331" s="2" t="s">
        <v>1066</v>
      </c>
      <c r="O331" s="2" t="s">
        <v>893</v>
      </c>
    </row>
    <row r="332" spans="1:15" ht="28.5">
      <c r="A332" s="2" t="s">
        <v>1306</v>
      </c>
      <c r="B332" s="2" t="s">
        <v>335</v>
      </c>
      <c r="C332" s="2" t="s">
        <v>584</v>
      </c>
      <c r="D332" s="2" t="s">
        <v>337</v>
      </c>
      <c r="E332" s="2" t="s">
        <v>886</v>
      </c>
      <c r="F332" s="2" t="s">
        <v>1307</v>
      </c>
      <c r="G332" s="2" t="s">
        <v>1028</v>
      </c>
      <c r="H332" s="2" t="s">
        <v>888</v>
      </c>
      <c r="I332" s="2" t="s">
        <v>1089</v>
      </c>
      <c r="J332" s="2" t="s">
        <v>1308</v>
      </c>
      <c r="K332" s="2"/>
      <c r="L332" s="2" t="s">
        <v>635</v>
      </c>
      <c r="M332" s="2" t="s">
        <v>891</v>
      </c>
      <c r="N332" s="2" t="s">
        <v>1066</v>
      </c>
      <c r="O332" s="2" t="s">
        <v>893</v>
      </c>
    </row>
    <row r="333" spans="1:15" ht="28.5">
      <c r="A333" s="2" t="s">
        <v>1309</v>
      </c>
      <c r="B333" s="2" t="s">
        <v>341</v>
      </c>
      <c r="C333" s="2" t="s">
        <v>584</v>
      </c>
      <c r="D333" s="2" t="s">
        <v>346</v>
      </c>
      <c r="E333" s="2" t="s">
        <v>886</v>
      </c>
      <c r="F333" s="2" t="s">
        <v>1310</v>
      </c>
      <c r="G333" s="2" t="s">
        <v>496</v>
      </c>
      <c r="H333" s="2" t="s">
        <v>888</v>
      </c>
      <c r="I333" s="2" t="s">
        <v>1089</v>
      </c>
      <c r="J333" s="2" t="s">
        <v>1311</v>
      </c>
      <c r="K333" s="2"/>
      <c r="L333" s="2" t="s">
        <v>635</v>
      </c>
      <c r="M333" s="2" t="s">
        <v>891</v>
      </c>
      <c r="N333" s="2" t="s">
        <v>1066</v>
      </c>
      <c r="O333" s="2" t="s">
        <v>893</v>
      </c>
    </row>
    <row r="334" spans="1:15" ht="57">
      <c r="A334" s="2" t="s">
        <v>1312</v>
      </c>
      <c r="B334" s="2" t="s">
        <v>341</v>
      </c>
      <c r="C334" s="2" t="s">
        <v>584</v>
      </c>
      <c r="D334" s="2" t="s">
        <v>346</v>
      </c>
      <c r="E334" s="2" t="s">
        <v>886</v>
      </c>
      <c r="F334" s="2" t="s">
        <v>1313</v>
      </c>
      <c r="G334" s="2" t="s">
        <v>916</v>
      </c>
      <c r="H334" s="2" t="s">
        <v>888</v>
      </c>
      <c r="I334" s="2" t="s">
        <v>1089</v>
      </c>
      <c r="J334" s="2" t="s">
        <v>1314</v>
      </c>
      <c r="K334" s="2"/>
      <c r="L334" s="2" t="s">
        <v>635</v>
      </c>
      <c r="M334" s="2" t="s">
        <v>891</v>
      </c>
      <c r="N334" s="2" t="s">
        <v>1066</v>
      </c>
      <c r="O334" s="2" t="s">
        <v>893</v>
      </c>
    </row>
    <row r="335" spans="1:15" ht="28.5">
      <c r="A335" s="2" t="s">
        <v>1315</v>
      </c>
      <c r="B335" s="2" t="s">
        <v>349</v>
      </c>
      <c r="C335" s="2" t="s">
        <v>584</v>
      </c>
      <c r="D335" s="2" t="s">
        <v>352</v>
      </c>
      <c r="E335" s="2" t="s">
        <v>886</v>
      </c>
      <c r="F335" s="2" t="s">
        <v>1316</v>
      </c>
      <c r="G335" s="2" t="s">
        <v>496</v>
      </c>
      <c r="H335" s="2" t="s">
        <v>888</v>
      </c>
      <c r="I335" s="2" t="s">
        <v>1317</v>
      </c>
      <c r="J335" s="2" t="s">
        <v>1318</v>
      </c>
      <c r="K335" s="2"/>
      <c r="L335" s="2" t="s">
        <v>588</v>
      </c>
      <c r="M335" s="2" t="s">
        <v>891</v>
      </c>
      <c r="N335" s="2" t="s">
        <v>1066</v>
      </c>
      <c r="O335" s="2" t="s">
        <v>893</v>
      </c>
    </row>
    <row r="336" spans="1:15" ht="28.5">
      <c r="A336" s="2" t="s">
        <v>1319</v>
      </c>
      <c r="B336" s="2" t="s">
        <v>349</v>
      </c>
      <c r="C336" s="2" t="s">
        <v>584</v>
      </c>
      <c r="D336" s="2" t="s">
        <v>352</v>
      </c>
      <c r="E336" s="2" t="s">
        <v>886</v>
      </c>
      <c r="F336" s="2" t="s">
        <v>1320</v>
      </c>
      <c r="G336" s="2" t="s">
        <v>496</v>
      </c>
      <c r="H336" s="2" t="s">
        <v>888</v>
      </c>
      <c r="I336" s="2" t="s">
        <v>1089</v>
      </c>
      <c r="J336" s="2" t="s">
        <v>1321</v>
      </c>
      <c r="K336" s="2"/>
      <c r="L336" s="2" t="s">
        <v>635</v>
      </c>
      <c r="M336" s="2" t="s">
        <v>891</v>
      </c>
      <c r="N336" s="2" t="s">
        <v>1066</v>
      </c>
      <c r="O336" s="2" t="s">
        <v>893</v>
      </c>
    </row>
    <row r="337" spans="1:15" ht="28.5">
      <c r="A337" s="2" t="s">
        <v>1322</v>
      </c>
      <c r="B337" s="2" t="s">
        <v>355</v>
      </c>
      <c r="C337" s="2" t="s">
        <v>584</v>
      </c>
      <c r="D337" s="2" t="s">
        <v>357</v>
      </c>
      <c r="E337" s="2" t="s">
        <v>886</v>
      </c>
      <c r="F337" s="2" t="s">
        <v>1323</v>
      </c>
      <c r="G337" s="2" t="s">
        <v>916</v>
      </c>
      <c r="H337" s="2" t="s">
        <v>888</v>
      </c>
      <c r="I337" s="2" t="s">
        <v>1324</v>
      </c>
      <c r="J337" s="2" t="s">
        <v>1325</v>
      </c>
      <c r="K337" s="2"/>
      <c r="L337" s="2" t="s">
        <v>588</v>
      </c>
      <c r="M337" s="2" t="s">
        <v>891</v>
      </c>
      <c r="N337" s="2" t="s">
        <v>1066</v>
      </c>
      <c r="O337" s="2" t="s">
        <v>893</v>
      </c>
    </row>
    <row r="338" spans="1:15" ht="42.75">
      <c r="A338" s="2" t="s">
        <v>1326</v>
      </c>
      <c r="B338" s="2" t="s">
        <v>355</v>
      </c>
      <c r="C338" s="2" t="s">
        <v>584</v>
      </c>
      <c r="D338" s="2" t="s">
        <v>357</v>
      </c>
      <c r="E338" s="2" t="s">
        <v>886</v>
      </c>
      <c r="F338" s="2" t="s">
        <v>1327</v>
      </c>
      <c r="G338" s="2" t="s">
        <v>1328</v>
      </c>
      <c r="H338" s="2" t="s">
        <v>888</v>
      </c>
      <c r="I338" s="2" t="s">
        <v>1089</v>
      </c>
      <c r="J338" s="2" t="s">
        <v>1329</v>
      </c>
      <c r="K338" s="2"/>
      <c r="L338" s="2" t="s">
        <v>635</v>
      </c>
      <c r="M338" s="2" t="s">
        <v>891</v>
      </c>
      <c r="N338" s="2" t="s">
        <v>1066</v>
      </c>
      <c r="O338" s="2" t="s">
        <v>893</v>
      </c>
    </row>
    <row r="339" spans="1:15" ht="42.75">
      <c r="A339" s="2" t="s">
        <v>1330</v>
      </c>
      <c r="B339" s="2" t="s">
        <v>355</v>
      </c>
      <c r="C339" s="2" t="s">
        <v>584</v>
      </c>
      <c r="D339" s="2" t="s">
        <v>357</v>
      </c>
      <c r="E339" s="2" t="s">
        <v>886</v>
      </c>
      <c r="F339" s="2" t="s">
        <v>1331</v>
      </c>
      <c r="G339" s="2" t="s">
        <v>916</v>
      </c>
      <c r="H339" s="2" t="s">
        <v>888</v>
      </c>
      <c r="I339" s="2" t="s">
        <v>1089</v>
      </c>
      <c r="J339" s="2" t="s">
        <v>1332</v>
      </c>
      <c r="K339" s="2"/>
      <c r="L339" s="2" t="s">
        <v>635</v>
      </c>
      <c r="M339" s="2" t="s">
        <v>891</v>
      </c>
      <c r="N339" s="2" t="s">
        <v>1066</v>
      </c>
      <c r="O339" s="2" t="s">
        <v>893</v>
      </c>
    </row>
    <row r="340" spans="1:15" ht="28.5">
      <c r="A340" s="2" t="s">
        <v>1333</v>
      </c>
      <c r="B340" s="2" t="s">
        <v>355</v>
      </c>
      <c r="C340" s="2" t="s">
        <v>584</v>
      </c>
      <c r="D340" s="2" t="s">
        <v>357</v>
      </c>
      <c r="E340" s="2" t="s">
        <v>886</v>
      </c>
      <c r="F340" s="2" t="s">
        <v>1334</v>
      </c>
      <c r="G340" s="2" t="s">
        <v>496</v>
      </c>
      <c r="H340" s="2" t="s">
        <v>888</v>
      </c>
      <c r="I340" s="2" t="s">
        <v>1089</v>
      </c>
      <c r="J340" s="2" t="s">
        <v>1335</v>
      </c>
      <c r="K340" s="2"/>
      <c r="L340" s="2" t="s">
        <v>635</v>
      </c>
      <c r="M340" s="2" t="s">
        <v>891</v>
      </c>
      <c r="N340" s="2" t="s">
        <v>1066</v>
      </c>
      <c r="O340" s="2" t="s">
        <v>893</v>
      </c>
    </row>
    <row r="341" spans="1:15" ht="28.5">
      <c r="A341" s="2" t="s">
        <v>1336</v>
      </c>
      <c r="B341" s="2" t="s">
        <v>355</v>
      </c>
      <c r="C341" s="2" t="s">
        <v>584</v>
      </c>
      <c r="D341" s="2" t="s">
        <v>357</v>
      </c>
      <c r="E341" s="2" t="s">
        <v>886</v>
      </c>
      <c r="F341" s="2" t="s">
        <v>1337</v>
      </c>
      <c r="G341" s="2" t="s">
        <v>920</v>
      </c>
      <c r="H341" s="2" t="s">
        <v>888</v>
      </c>
      <c r="I341" s="2" t="s">
        <v>1089</v>
      </c>
      <c r="J341" s="2" t="s">
        <v>1338</v>
      </c>
      <c r="K341" s="2"/>
      <c r="L341" s="2" t="s">
        <v>635</v>
      </c>
      <c r="M341" s="2" t="s">
        <v>891</v>
      </c>
      <c r="N341" s="2" t="s">
        <v>1066</v>
      </c>
      <c r="O341" s="2" t="s">
        <v>893</v>
      </c>
    </row>
    <row r="342" spans="1:15" ht="42.75">
      <c r="A342" s="2" t="s">
        <v>1339</v>
      </c>
      <c r="B342" s="2" t="s">
        <v>360</v>
      </c>
      <c r="C342" s="2" t="s">
        <v>584</v>
      </c>
      <c r="D342" s="2" t="s">
        <v>362</v>
      </c>
      <c r="E342" s="2" t="s">
        <v>886</v>
      </c>
      <c r="F342" s="2" t="s">
        <v>1340</v>
      </c>
      <c r="G342" s="2" t="s">
        <v>496</v>
      </c>
      <c r="H342" s="2" t="s">
        <v>888</v>
      </c>
      <c r="I342" s="2" t="s">
        <v>1089</v>
      </c>
      <c r="J342" s="2" t="s">
        <v>1341</v>
      </c>
      <c r="K342" s="2"/>
      <c r="L342" s="2" t="s">
        <v>635</v>
      </c>
      <c r="M342" s="2" t="s">
        <v>891</v>
      </c>
      <c r="N342" s="2" t="s">
        <v>1066</v>
      </c>
      <c r="O342" s="2" t="s">
        <v>893</v>
      </c>
    </row>
    <row r="343" spans="1:15" ht="28.5">
      <c r="A343" s="2" t="s">
        <v>1342</v>
      </c>
      <c r="B343" s="2" t="s">
        <v>360</v>
      </c>
      <c r="C343" s="2" t="s">
        <v>584</v>
      </c>
      <c r="D343" s="2" t="s">
        <v>362</v>
      </c>
      <c r="E343" s="2" t="s">
        <v>886</v>
      </c>
      <c r="F343" s="2" t="s">
        <v>1343</v>
      </c>
      <c r="G343" s="2" t="s">
        <v>496</v>
      </c>
      <c r="H343" s="2" t="s">
        <v>888</v>
      </c>
      <c r="I343" s="2" t="s">
        <v>1089</v>
      </c>
      <c r="J343" s="2" t="s">
        <v>1344</v>
      </c>
      <c r="K343" s="2"/>
      <c r="L343" s="2" t="s">
        <v>635</v>
      </c>
      <c r="M343" s="2" t="s">
        <v>891</v>
      </c>
      <c r="N343" s="2" t="s">
        <v>1066</v>
      </c>
      <c r="O343" s="2" t="s">
        <v>893</v>
      </c>
    </row>
    <row r="344" spans="1:15" ht="28.5">
      <c r="A344" s="2" t="s">
        <v>1345</v>
      </c>
      <c r="B344" s="2" t="s">
        <v>360</v>
      </c>
      <c r="C344" s="2" t="s">
        <v>584</v>
      </c>
      <c r="D344" s="2" t="s">
        <v>362</v>
      </c>
      <c r="E344" s="2" t="s">
        <v>886</v>
      </c>
      <c r="F344" s="2" t="s">
        <v>1346</v>
      </c>
      <c r="G344" s="2" t="s">
        <v>496</v>
      </c>
      <c r="H344" s="2" t="s">
        <v>888</v>
      </c>
      <c r="I344" s="2" t="s">
        <v>1089</v>
      </c>
      <c r="J344" s="2" t="s">
        <v>1344</v>
      </c>
      <c r="K344" s="2"/>
      <c r="L344" s="2" t="s">
        <v>635</v>
      </c>
      <c r="M344" s="2" t="s">
        <v>891</v>
      </c>
      <c r="N344" s="2" t="s">
        <v>1066</v>
      </c>
      <c r="O344" s="2" t="s">
        <v>893</v>
      </c>
    </row>
    <row r="345" spans="1:15" ht="42.75">
      <c r="A345" s="2" t="s">
        <v>1347</v>
      </c>
      <c r="B345" s="2" t="s">
        <v>360</v>
      </c>
      <c r="C345" s="2" t="s">
        <v>584</v>
      </c>
      <c r="D345" s="2" t="s">
        <v>362</v>
      </c>
      <c r="E345" s="2" t="s">
        <v>886</v>
      </c>
      <c r="F345" s="2" t="s">
        <v>1348</v>
      </c>
      <c r="G345" s="2" t="s">
        <v>1349</v>
      </c>
      <c r="H345" s="2" t="s">
        <v>888</v>
      </c>
      <c r="I345" s="2" t="s">
        <v>1089</v>
      </c>
      <c r="J345" s="2" t="s">
        <v>1350</v>
      </c>
      <c r="K345" s="2"/>
      <c r="L345" s="2" t="s">
        <v>635</v>
      </c>
      <c r="M345" s="2" t="s">
        <v>891</v>
      </c>
      <c r="N345" s="2" t="s">
        <v>1066</v>
      </c>
      <c r="O345" s="2" t="s">
        <v>893</v>
      </c>
    </row>
    <row r="346" spans="1:15" ht="42.75">
      <c r="A346" s="2" t="s">
        <v>1351</v>
      </c>
      <c r="B346" s="2" t="s">
        <v>365</v>
      </c>
      <c r="C346" s="2" t="s">
        <v>584</v>
      </c>
      <c r="D346" s="2" t="s">
        <v>367</v>
      </c>
      <c r="E346" s="2" t="s">
        <v>886</v>
      </c>
      <c r="F346" s="2" t="s">
        <v>1352</v>
      </c>
      <c r="G346" s="2" t="s">
        <v>1059</v>
      </c>
      <c r="H346" s="2" t="s">
        <v>888</v>
      </c>
      <c r="I346" s="2" t="s">
        <v>1089</v>
      </c>
      <c r="J346" s="2" t="s">
        <v>1353</v>
      </c>
      <c r="K346" s="2"/>
      <c r="L346" s="2" t="s">
        <v>635</v>
      </c>
      <c r="M346" s="2" t="s">
        <v>891</v>
      </c>
      <c r="N346" s="2" t="s">
        <v>1066</v>
      </c>
      <c r="O346" s="2" t="s">
        <v>893</v>
      </c>
    </row>
    <row r="347" spans="1:15" ht="42.75">
      <c r="A347" s="2" t="s">
        <v>1354</v>
      </c>
      <c r="B347" s="2" t="s">
        <v>365</v>
      </c>
      <c r="C347" s="2" t="s">
        <v>584</v>
      </c>
      <c r="D347" s="2" t="s">
        <v>367</v>
      </c>
      <c r="E347" s="2" t="s">
        <v>886</v>
      </c>
      <c r="F347" s="2" t="s">
        <v>1355</v>
      </c>
      <c r="G347" s="2" t="s">
        <v>944</v>
      </c>
      <c r="H347" s="2" t="s">
        <v>888</v>
      </c>
      <c r="I347" s="2" t="s">
        <v>1089</v>
      </c>
      <c r="J347" s="2" t="s">
        <v>1356</v>
      </c>
      <c r="K347" s="2"/>
      <c r="L347" s="2" t="s">
        <v>635</v>
      </c>
      <c r="M347" s="2" t="s">
        <v>891</v>
      </c>
      <c r="N347" s="2" t="s">
        <v>1066</v>
      </c>
      <c r="O347" s="2" t="s">
        <v>893</v>
      </c>
    </row>
    <row r="348" spans="1:15" ht="57">
      <c r="A348" s="2" t="s">
        <v>1357</v>
      </c>
      <c r="B348" s="2" t="s">
        <v>365</v>
      </c>
      <c r="C348" s="2" t="s">
        <v>584</v>
      </c>
      <c r="D348" s="2" t="s">
        <v>367</v>
      </c>
      <c r="E348" s="2" t="s">
        <v>886</v>
      </c>
      <c r="F348" s="2" t="s">
        <v>1358</v>
      </c>
      <c r="G348" s="2" t="s">
        <v>1359</v>
      </c>
      <c r="H348" s="2" t="s">
        <v>888</v>
      </c>
      <c r="I348" s="2" t="s">
        <v>1077</v>
      </c>
      <c r="J348" s="2" t="s">
        <v>1360</v>
      </c>
      <c r="K348" s="2"/>
      <c r="L348" s="2" t="s">
        <v>588</v>
      </c>
      <c r="M348" s="2" t="s">
        <v>891</v>
      </c>
      <c r="N348" s="2" t="s">
        <v>1066</v>
      </c>
      <c r="O348" s="2" t="s">
        <v>893</v>
      </c>
    </row>
    <row r="349" spans="1:15" ht="57">
      <c r="A349" s="2" t="s">
        <v>1361</v>
      </c>
      <c r="B349" s="2" t="s">
        <v>371</v>
      </c>
      <c r="C349" s="2" t="s">
        <v>584</v>
      </c>
      <c r="D349" s="2" t="s">
        <v>375</v>
      </c>
      <c r="E349" s="2" t="s">
        <v>886</v>
      </c>
      <c r="F349" s="2" t="s">
        <v>1362</v>
      </c>
      <c r="G349" s="2" t="s">
        <v>905</v>
      </c>
      <c r="H349" s="2" t="s">
        <v>888</v>
      </c>
      <c r="I349" s="2" t="s">
        <v>1089</v>
      </c>
      <c r="J349" s="2" t="s">
        <v>1363</v>
      </c>
      <c r="K349" s="2"/>
      <c r="L349" s="2" t="s">
        <v>635</v>
      </c>
      <c r="M349" s="2" t="s">
        <v>891</v>
      </c>
      <c r="N349" s="2" t="s">
        <v>1066</v>
      </c>
      <c r="O349" s="2" t="s">
        <v>893</v>
      </c>
    </row>
    <row r="350" spans="1:15" ht="57">
      <c r="A350" s="2" t="s">
        <v>1364</v>
      </c>
      <c r="B350" s="2" t="s">
        <v>371</v>
      </c>
      <c r="C350" s="2" t="s">
        <v>584</v>
      </c>
      <c r="D350" s="2" t="s">
        <v>375</v>
      </c>
      <c r="E350" s="2" t="s">
        <v>886</v>
      </c>
      <c r="F350" s="2" t="s">
        <v>1365</v>
      </c>
      <c r="G350" s="2" t="s">
        <v>916</v>
      </c>
      <c r="H350" s="2" t="s">
        <v>888</v>
      </c>
      <c r="I350" s="2" t="s">
        <v>1089</v>
      </c>
      <c r="J350" s="2" t="s">
        <v>1366</v>
      </c>
      <c r="K350" s="2"/>
      <c r="L350" s="2" t="s">
        <v>635</v>
      </c>
      <c r="M350" s="2" t="s">
        <v>891</v>
      </c>
      <c r="N350" s="2" t="s">
        <v>1066</v>
      </c>
      <c r="O350" s="2" t="s">
        <v>893</v>
      </c>
    </row>
    <row r="351" spans="1:15" ht="42.75">
      <c r="A351" s="2" t="s">
        <v>1367</v>
      </c>
      <c r="B351" s="2" t="s">
        <v>371</v>
      </c>
      <c r="C351" s="2" t="s">
        <v>584</v>
      </c>
      <c r="D351" s="2" t="s">
        <v>375</v>
      </c>
      <c r="E351" s="2" t="s">
        <v>886</v>
      </c>
      <c r="F351" s="2" t="s">
        <v>1368</v>
      </c>
      <c r="G351" s="2" t="s">
        <v>916</v>
      </c>
      <c r="H351" s="2" t="s">
        <v>888</v>
      </c>
      <c r="I351" s="2" t="s">
        <v>1089</v>
      </c>
      <c r="J351" s="2" t="s">
        <v>1369</v>
      </c>
      <c r="K351" s="2"/>
      <c r="L351" s="2" t="s">
        <v>635</v>
      </c>
      <c r="M351" s="2" t="s">
        <v>891</v>
      </c>
      <c r="N351" s="2" t="s">
        <v>1066</v>
      </c>
      <c r="O351" s="2" t="s">
        <v>893</v>
      </c>
    </row>
    <row r="352" spans="1:15" ht="57">
      <c r="A352" s="2" t="s">
        <v>1370</v>
      </c>
      <c r="B352" s="2" t="s">
        <v>371</v>
      </c>
      <c r="C352" s="2" t="s">
        <v>584</v>
      </c>
      <c r="D352" s="2" t="s">
        <v>375</v>
      </c>
      <c r="E352" s="2" t="s">
        <v>886</v>
      </c>
      <c r="F352" s="2" t="s">
        <v>1371</v>
      </c>
      <c r="G352" s="2" t="s">
        <v>496</v>
      </c>
      <c r="H352" s="2" t="s">
        <v>888</v>
      </c>
      <c r="I352" s="2" t="s">
        <v>1089</v>
      </c>
      <c r="J352" s="2" t="s">
        <v>1372</v>
      </c>
      <c r="K352" s="2"/>
      <c r="L352" s="2" t="s">
        <v>635</v>
      </c>
      <c r="M352" s="2" t="s">
        <v>891</v>
      </c>
      <c r="N352" s="2" t="s">
        <v>1066</v>
      </c>
      <c r="O352" s="2" t="s">
        <v>893</v>
      </c>
    </row>
    <row r="353" spans="1:15" ht="42.75">
      <c r="A353" s="2" t="s">
        <v>1373</v>
      </c>
      <c r="B353" s="2" t="s">
        <v>379</v>
      </c>
      <c r="C353" s="2" t="s">
        <v>584</v>
      </c>
      <c r="D353" s="2" t="s">
        <v>381</v>
      </c>
      <c r="E353" s="2" t="s">
        <v>886</v>
      </c>
      <c r="F353" s="2" t="s">
        <v>1374</v>
      </c>
      <c r="G353" s="2" t="s">
        <v>496</v>
      </c>
      <c r="H353" s="2" t="s">
        <v>888</v>
      </c>
      <c r="I353" s="2" t="s">
        <v>1089</v>
      </c>
      <c r="J353" s="2" t="s">
        <v>1375</v>
      </c>
      <c r="K353" s="2"/>
      <c r="L353" s="2" t="s">
        <v>635</v>
      </c>
      <c r="M353" s="2" t="s">
        <v>891</v>
      </c>
      <c r="N353" s="2" t="s">
        <v>1066</v>
      </c>
      <c r="O353" s="2" t="s">
        <v>893</v>
      </c>
    </row>
    <row r="354" spans="1:15" ht="28.5">
      <c r="A354" s="2" t="s">
        <v>1376</v>
      </c>
      <c r="B354" s="2" t="s">
        <v>379</v>
      </c>
      <c r="C354" s="2" t="s">
        <v>584</v>
      </c>
      <c r="D354" s="2" t="s">
        <v>381</v>
      </c>
      <c r="E354" s="2" t="s">
        <v>886</v>
      </c>
      <c r="F354" s="2" t="s">
        <v>1377</v>
      </c>
      <c r="G354" s="2" t="s">
        <v>988</v>
      </c>
      <c r="H354" s="2" t="s">
        <v>888</v>
      </c>
      <c r="I354" s="2" t="s">
        <v>1089</v>
      </c>
      <c r="J354" s="2" t="s">
        <v>1378</v>
      </c>
      <c r="K354" s="2"/>
      <c r="L354" s="2" t="s">
        <v>635</v>
      </c>
      <c r="M354" s="2" t="s">
        <v>891</v>
      </c>
      <c r="N354" s="2" t="s">
        <v>1066</v>
      </c>
      <c r="O354" s="2" t="s">
        <v>893</v>
      </c>
    </row>
    <row r="355" spans="1:15" ht="85.5">
      <c r="A355" s="2" t="s">
        <v>1379</v>
      </c>
      <c r="B355" s="2" t="s">
        <v>379</v>
      </c>
      <c r="C355" s="2" t="s">
        <v>584</v>
      </c>
      <c r="D355" s="2" t="s">
        <v>381</v>
      </c>
      <c r="E355" s="2" t="s">
        <v>886</v>
      </c>
      <c r="F355" s="2" t="s">
        <v>1380</v>
      </c>
      <c r="G355" s="2" t="s">
        <v>496</v>
      </c>
      <c r="H355" s="2" t="s">
        <v>888</v>
      </c>
      <c r="I355" s="2" t="s">
        <v>1381</v>
      </c>
      <c r="J355" s="2" t="s">
        <v>1382</v>
      </c>
      <c r="K355" s="2"/>
      <c r="L355" s="2" t="s">
        <v>635</v>
      </c>
      <c r="M355" s="2" t="s">
        <v>891</v>
      </c>
      <c r="N355" s="2" t="s">
        <v>1066</v>
      </c>
      <c r="O355" s="2" t="s">
        <v>893</v>
      </c>
    </row>
    <row r="356" spans="1:15" ht="57">
      <c r="A356" s="2" t="s">
        <v>1383</v>
      </c>
      <c r="B356" s="2" t="s">
        <v>385</v>
      </c>
      <c r="C356" s="2" t="s">
        <v>584</v>
      </c>
      <c r="D356" s="2" t="s">
        <v>388</v>
      </c>
      <c r="E356" s="2" t="s">
        <v>886</v>
      </c>
      <c r="F356" s="2" t="s">
        <v>1384</v>
      </c>
      <c r="G356" s="2" t="s">
        <v>496</v>
      </c>
      <c r="H356" s="2" t="s">
        <v>888</v>
      </c>
      <c r="I356" s="2" t="s">
        <v>1089</v>
      </c>
      <c r="J356" s="2" t="s">
        <v>1385</v>
      </c>
      <c r="K356" s="2"/>
      <c r="L356" s="2" t="s">
        <v>635</v>
      </c>
      <c r="M356" s="2" t="s">
        <v>891</v>
      </c>
      <c r="N356" s="2" t="s">
        <v>1066</v>
      </c>
      <c r="O356" s="2" t="s">
        <v>893</v>
      </c>
    </row>
    <row r="357" spans="1:15" ht="57">
      <c r="A357" s="2" t="s">
        <v>1386</v>
      </c>
      <c r="B357" s="2" t="s">
        <v>385</v>
      </c>
      <c r="C357" s="2" t="s">
        <v>584</v>
      </c>
      <c r="D357" s="2" t="s">
        <v>388</v>
      </c>
      <c r="E357" s="2" t="s">
        <v>886</v>
      </c>
      <c r="F357" s="2" t="s">
        <v>1387</v>
      </c>
      <c r="G357" s="2" t="s">
        <v>496</v>
      </c>
      <c r="H357" s="2" t="s">
        <v>888</v>
      </c>
      <c r="I357" s="2" t="s">
        <v>1089</v>
      </c>
      <c r="J357" s="2" t="s">
        <v>1385</v>
      </c>
      <c r="K357" s="2"/>
      <c r="L357" s="2" t="s">
        <v>635</v>
      </c>
      <c r="M357" s="2" t="s">
        <v>891</v>
      </c>
      <c r="N357" s="2" t="s">
        <v>1066</v>
      </c>
      <c r="O357" s="2" t="s">
        <v>893</v>
      </c>
    </row>
    <row r="358" spans="1:15" ht="28.5">
      <c r="A358" s="2" t="s">
        <v>1388</v>
      </c>
      <c r="B358" s="2" t="s">
        <v>385</v>
      </c>
      <c r="C358" s="2" t="s">
        <v>584</v>
      </c>
      <c r="D358" s="2" t="s">
        <v>388</v>
      </c>
      <c r="E358" s="2" t="s">
        <v>886</v>
      </c>
      <c r="F358" s="2" t="s">
        <v>1389</v>
      </c>
      <c r="G358" s="2" t="s">
        <v>496</v>
      </c>
      <c r="H358" s="2" t="s">
        <v>888</v>
      </c>
      <c r="I358" s="2" t="s">
        <v>1089</v>
      </c>
      <c r="J358" s="2" t="s">
        <v>1390</v>
      </c>
      <c r="K358" s="2"/>
      <c r="L358" s="2" t="s">
        <v>635</v>
      </c>
      <c r="M358" s="2" t="s">
        <v>891</v>
      </c>
      <c r="N358" s="2" t="s">
        <v>1066</v>
      </c>
      <c r="O358" s="2" t="s">
        <v>893</v>
      </c>
    </row>
    <row r="359" spans="1:15" ht="28.5">
      <c r="A359" s="2" t="s">
        <v>1391</v>
      </c>
      <c r="B359" s="2" t="s">
        <v>385</v>
      </c>
      <c r="C359" s="2" t="s">
        <v>584</v>
      </c>
      <c r="D359" s="2" t="s">
        <v>388</v>
      </c>
      <c r="E359" s="2" t="s">
        <v>886</v>
      </c>
      <c r="F359" s="2" t="s">
        <v>1392</v>
      </c>
      <c r="G359" s="2" t="s">
        <v>496</v>
      </c>
      <c r="H359" s="2" t="s">
        <v>888</v>
      </c>
      <c r="I359" s="2" t="s">
        <v>1089</v>
      </c>
      <c r="J359" s="2" t="s">
        <v>1393</v>
      </c>
      <c r="K359" s="2"/>
      <c r="L359" s="2" t="s">
        <v>635</v>
      </c>
      <c r="M359" s="2" t="s">
        <v>891</v>
      </c>
      <c r="N359" s="2" t="s">
        <v>1066</v>
      </c>
      <c r="O359" s="2" t="s">
        <v>893</v>
      </c>
    </row>
    <row r="360" spans="1:15" ht="42.75">
      <c r="A360" s="2" t="s">
        <v>1394</v>
      </c>
      <c r="B360" s="2" t="s">
        <v>392</v>
      </c>
      <c r="C360" s="2" t="s">
        <v>584</v>
      </c>
      <c r="D360" s="2" t="s">
        <v>394</v>
      </c>
      <c r="E360" s="2" t="s">
        <v>886</v>
      </c>
      <c r="F360" s="2" t="s">
        <v>1395</v>
      </c>
      <c r="G360" s="2" t="s">
        <v>496</v>
      </c>
      <c r="H360" s="2" t="s">
        <v>888</v>
      </c>
      <c r="I360" s="2" t="s">
        <v>1089</v>
      </c>
      <c r="J360" s="2" t="s">
        <v>1396</v>
      </c>
      <c r="K360" s="2"/>
      <c r="L360" s="2" t="s">
        <v>635</v>
      </c>
      <c r="M360" s="2" t="s">
        <v>891</v>
      </c>
      <c r="N360" s="2" t="s">
        <v>1066</v>
      </c>
      <c r="O360" s="2" t="s">
        <v>893</v>
      </c>
    </row>
    <row r="361" spans="1:15" ht="42.75">
      <c r="A361" s="2" t="s">
        <v>1397</v>
      </c>
      <c r="B361" s="2" t="s">
        <v>392</v>
      </c>
      <c r="C361" s="2" t="s">
        <v>584</v>
      </c>
      <c r="D361" s="2" t="s">
        <v>394</v>
      </c>
      <c r="E361" s="2" t="s">
        <v>886</v>
      </c>
      <c r="F361" s="2" t="s">
        <v>1398</v>
      </c>
      <c r="G361" s="2" t="s">
        <v>916</v>
      </c>
      <c r="H361" s="2" t="s">
        <v>888</v>
      </c>
      <c r="I361" s="2" t="s">
        <v>1089</v>
      </c>
      <c r="J361" s="2" t="s">
        <v>1399</v>
      </c>
      <c r="K361" s="2"/>
      <c r="L361" s="2" t="s">
        <v>635</v>
      </c>
      <c r="M361" s="2" t="s">
        <v>891</v>
      </c>
      <c r="N361" s="2" t="s">
        <v>1066</v>
      </c>
      <c r="O361" s="2" t="s">
        <v>893</v>
      </c>
    </row>
    <row r="362" spans="1:15" ht="156.75">
      <c r="A362" s="2" t="s">
        <v>1400</v>
      </c>
      <c r="B362" s="2" t="s">
        <v>392</v>
      </c>
      <c r="C362" s="2" t="s">
        <v>584</v>
      </c>
      <c r="D362" s="2" t="s">
        <v>394</v>
      </c>
      <c r="E362" s="2" t="s">
        <v>886</v>
      </c>
      <c r="F362" s="2" t="s">
        <v>1401</v>
      </c>
      <c r="G362" s="2" t="s">
        <v>1402</v>
      </c>
      <c r="H362" s="2" t="s">
        <v>888</v>
      </c>
      <c r="I362" s="2" t="s">
        <v>1089</v>
      </c>
      <c r="J362" s="2" t="s">
        <v>1403</v>
      </c>
      <c r="K362" s="2"/>
      <c r="L362" s="2" t="s">
        <v>635</v>
      </c>
      <c r="M362" s="2" t="s">
        <v>891</v>
      </c>
      <c r="N362" s="2" t="s">
        <v>1066</v>
      </c>
      <c r="O362" s="2" t="s">
        <v>893</v>
      </c>
    </row>
    <row r="363" spans="1:15" ht="57">
      <c r="A363" s="2" t="s">
        <v>1404</v>
      </c>
      <c r="B363" s="2" t="s">
        <v>397</v>
      </c>
      <c r="C363" s="2" t="s">
        <v>584</v>
      </c>
      <c r="D363" s="2" t="s">
        <v>399</v>
      </c>
      <c r="E363" s="2" t="s">
        <v>886</v>
      </c>
      <c r="F363" s="2" t="s">
        <v>1405</v>
      </c>
      <c r="G363" s="2" t="s">
        <v>916</v>
      </c>
      <c r="H363" s="2" t="s">
        <v>888</v>
      </c>
      <c r="I363" s="2" t="s">
        <v>1089</v>
      </c>
      <c r="J363" s="2" t="s">
        <v>1406</v>
      </c>
      <c r="K363" s="2"/>
      <c r="L363" s="2" t="s">
        <v>635</v>
      </c>
      <c r="M363" s="2" t="s">
        <v>891</v>
      </c>
      <c r="N363" s="2" t="s">
        <v>1066</v>
      </c>
      <c r="O363" s="2" t="s">
        <v>893</v>
      </c>
    </row>
    <row r="364" spans="1:15" ht="28.5">
      <c r="A364" s="2" t="s">
        <v>1407</v>
      </c>
      <c r="B364" s="2" t="s">
        <v>397</v>
      </c>
      <c r="C364" s="2" t="s">
        <v>584</v>
      </c>
      <c r="D364" s="2" t="s">
        <v>399</v>
      </c>
      <c r="E364" s="2" t="s">
        <v>886</v>
      </c>
      <c r="F364" s="2" t="s">
        <v>1408</v>
      </c>
      <c r="G364" s="2" t="s">
        <v>916</v>
      </c>
      <c r="H364" s="2" t="s">
        <v>888</v>
      </c>
      <c r="I364" s="2" t="s">
        <v>1089</v>
      </c>
      <c r="J364" s="2" t="s">
        <v>1409</v>
      </c>
      <c r="K364" s="2"/>
      <c r="L364" s="2" t="s">
        <v>635</v>
      </c>
      <c r="M364" s="2" t="s">
        <v>891</v>
      </c>
      <c r="N364" s="2" t="s">
        <v>1066</v>
      </c>
      <c r="O364" s="2" t="s">
        <v>893</v>
      </c>
    </row>
    <row r="365" spans="1:15" ht="71.25">
      <c r="A365" s="2" t="s">
        <v>1410</v>
      </c>
      <c r="B365" s="2" t="s">
        <v>397</v>
      </c>
      <c r="C365" s="2" t="s">
        <v>584</v>
      </c>
      <c r="D365" s="2" t="s">
        <v>399</v>
      </c>
      <c r="E365" s="2" t="s">
        <v>886</v>
      </c>
      <c r="F365" s="2" t="s">
        <v>1411</v>
      </c>
      <c r="G365" s="2" t="s">
        <v>1412</v>
      </c>
      <c r="H365" s="2" t="s">
        <v>888</v>
      </c>
      <c r="I365" s="2" t="s">
        <v>1089</v>
      </c>
      <c r="J365" s="2" t="s">
        <v>1413</v>
      </c>
      <c r="K365" s="2"/>
      <c r="L365" s="2" t="s">
        <v>635</v>
      </c>
      <c r="M365" s="2" t="s">
        <v>891</v>
      </c>
      <c r="N365" s="2" t="s">
        <v>1066</v>
      </c>
      <c r="O365" s="2" t="s">
        <v>893</v>
      </c>
    </row>
    <row r="366" spans="1:15" ht="57">
      <c r="A366" s="2" t="s">
        <v>1414</v>
      </c>
      <c r="B366" s="2" t="s">
        <v>397</v>
      </c>
      <c r="C366" s="2" t="s">
        <v>584</v>
      </c>
      <c r="D366" s="2" t="s">
        <v>399</v>
      </c>
      <c r="E366" s="2" t="s">
        <v>886</v>
      </c>
      <c r="F366" s="2" t="s">
        <v>1415</v>
      </c>
      <c r="G366" s="2" t="s">
        <v>1416</v>
      </c>
      <c r="H366" s="2" t="s">
        <v>888</v>
      </c>
      <c r="I366" s="2" t="s">
        <v>1089</v>
      </c>
      <c r="J366" s="2" t="s">
        <v>1417</v>
      </c>
      <c r="K366" s="2"/>
      <c r="L366" s="2" t="s">
        <v>635</v>
      </c>
      <c r="M366" s="2" t="s">
        <v>891</v>
      </c>
      <c r="N366" s="2" t="s">
        <v>1066</v>
      </c>
      <c r="O366" s="2" t="s">
        <v>893</v>
      </c>
    </row>
    <row r="367" spans="1:15" ht="57">
      <c r="A367" s="2" t="s">
        <v>1418</v>
      </c>
      <c r="B367" s="2" t="s">
        <v>403</v>
      </c>
      <c r="C367" s="2" t="s">
        <v>584</v>
      </c>
      <c r="D367" s="2" t="s">
        <v>407</v>
      </c>
      <c r="E367" s="2" t="s">
        <v>886</v>
      </c>
      <c r="F367" s="2" t="s">
        <v>1419</v>
      </c>
      <c r="G367" s="2" t="s">
        <v>1195</v>
      </c>
      <c r="H367" s="2" t="s">
        <v>888</v>
      </c>
      <c r="I367" s="2" t="s">
        <v>1089</v>
      </c>
      <c r="J367" s="2" t="s">
        <v>1420</v>
      </c>
      <c r="K367" s="2"/>
      <c r="L367" s="2" t="s">
        <v>635</v>
      </c>
      <c r="M367" s="2" t="s">
        <v>891</v>
      </c>
      <c r="N367" s="2" t="s">
        <v>1066</v>
      </c>
      <c r="O367" s="2" t="s">
        <v>893</v>
      </c>
    </row>
    <row r="368" spans="1:15" ht="128.25">
      <c r="A368" s="2" t="s">
        <v>1421</v>
      </c>
      <c r="B368" s="2" t="s">
        <v>403</v>
      </c>
      <c r="C368" s="2" t="s">
        <v>584</v>
      </c>
      <c r="D368" s="2" t="s">
        <v>407</v>
      </c>
      <c r="E368" s="2" t="s">
        <v>886</v>
      </c>
      <c r="F368" s="2" t="s">
        <v>1422</v>
      </c>
      <c r="G368" s="2" t="s">
        <v>1423</v>
      </c>
      <c r="H368" s="2" t="s">
        <v>888</v>
      </c>
      <c r="I368" s="2" t="s">
        <v>1121</v>
      </c>
      <c r="J368" s="2" t="s">
        <v>1424</v>
      </c>
      <c r="K368" s="2"/>
      <c r="L368" s="2" t="s">
        <v>635</v>
      </c>
      <c r="M368" s="2" t="s">
        <v>891</v>
      </c>
      <c r="N368" s="2" t="s">
        <v>1066</v>
      </c>
      <c r="O368" s="2" t="s">
        <v>893</v>
      </c>
    </row>
    <row r="369" spans="1:15" ht="28.5">
      <c r="A369" s="2" t="s">
        <v>1425</v>
      </c>
      <c r="B369" s="2" t="s">
        <v>410</v>
      </c>
      <c r="C369" s="2" t="s">
        <v>584</v>
      </c>
      <c r="D369" s="2" t="s">
        <v>412</v>
      </c>
      <c r="E369" s="2" t="s">
        <v>886</v>
      </c>
      <c r="F369" s="2" t="s">
        <v>1426</v>
      </c>
      <c r="G369" s="2" t="s">
        <v>496</v>
      </c>
      <c r="H369" s="2" t="s">
        <v>888</v>
      </c>
      <c r="I369" s="2" t="s">
        <v>1089</v>
      </c>
      <c r="J369" s="2" t="s">
        <v>1427</v>
      </c>
      <c r="K369" s="2"/>
      <c r="L369" s="2" t="s">
        <v>635</v>
      </c>
      <c r="M369" s="2" t="s">
        <v>891</v>
      </c>
      <c r="N369" s="2" t="s">
        <v>1066</v>
      </c>
      <c r="O369" s="2" t="s">
        <v>893</v>
      </c>
    </row>
    <row r="370" spans="1:15" ht="28.5">
      <c r="A370" s="2" t="s">
        <v>1428</v>
      </c>
      <c r="B370" s="2" t="s">
        <v>410</v>
      </c>
      <c r="C370" s="2" t="s">
        <v>584</v>
      </c>
      <c r="D370" s="2" t="s">
        <v>412</v>
      </c>
      <c r="E370" s="2" t="s">
        <v>886</v>
      </c>
      <c r="F370" s="2" t="s">
        <v>1429</v>
      </c>
      <c r="G370" s="2" t="s">
        <v>496</v>
      </c>
      <c r="H370" s="2" t="s">
        <v>888</v>
      </c>
      <c r="I370" s="2" t="s">
        <v>1089</v>
      </c>
      <c r="J370" s="2" t="s">
        <v>1430</v>
      </c>
      <c r="K370" s="2"/>
      <c r="L370" s="2" t="s">
        <v>635</v>
      </c>
      <c r="M370" s="2" t="s">
        <v>891</v>
      </c>
      <c r="N370" s="2" t="s">
        <v>1066</v>
      </c>
      <c r="O370" s="2" t="s">
        <v>893</v>
      </c>
    </row>
    <row r="371" spans="1:15" ht="114">
      <c r="A371" s="2" t="s">
        <v>1431</v>
      </c>
      <c r="B371" s="2" t="s">
        <v>410</v>
      </c>
      <c r="C371" s="2" t="s">
        <v>584</v>
      </c>
      <c r="D371" s="2" t="s">
        <v>412</v>
      </c>
      <c r="E371" s="2" t="s">
        <v>886</v>
      </c>
      <c r="F371" s="2" t="s">
        <v>1432</v>
      </c>
      <c r="G371" s="2" t="s">
        <v>1412</v>
      </c>
      <c r="H371" s="2" t="s">
        <v>888</v>
      </c>
      <c r="I371" s="2" t="s">
        <v>1121</v>
      </c>
      <c r="J371" s="2" t="s">
        <v>1433</v>
      </c>
      <c r="K371" s="2"/>
      <c r="L371" s="2" t="s">
        <v>635</v>
      </c>
      <c r="M371" s="2" t="s">
        <v>891</v>
      </c>
      <c r="N371" s="2" t="s">
        <v>1066</v>
      </c>
      <c r="O371" s="2" t="s">
        <v>893</v>
      </c>
    </row>
    <row r="372" spans="1:15" ht="71.25">
      <c r="A372" s="2" t="s">
        <v>1434</v>
      </c>
      <c r="B372" s="2" t="s">
        <v>415</v>
      </c>
      <c r="C372" s="2" t="s">
        <v>584</v>
      </c>
      <c r="D372" s="2" t="s">
        <v>417</v>
      </c>
      <c r="E372" s="2" t="s">
        <v>886</v>
      </c>
      <c r="F372" s="2" t="s">
        <v>1435</v>
      </c>
      <c r="G372" s="2" t="s">
        <v>496</v>
      </c>
      <c r="H372" s="2" t="s">
        <v>888</v>
      </c>
      <c r="I372" s="2" t="s">
        <v>1089</v>
      </c>
      <c r="J372" s="2" t="s">
        <v>1436</v>
      </c>
      <c r="K372" s="2"/>
      <c r="L372" s="2" t="s">
        <v>635</v>
      </c>
      <c r="M372" s="2" t="s">
        <v>891</v>
      </c>
      <c r="N372" s="2" t="s">
        <v>1066</v>
      </c>
      <c r="O372" s="2" t="s">
        <v>893</v>
      </c>
    </row>
    <row r="373" spans="1:15" ht="57">
      <c r="A373" s="2" t="s">
        <v>1437</v>
      </c>
      <c r="B373" s="2" t="s">
        <v>415</v>
      </c>
      <c r="C373" s="2" t="s">
        <v>584</v>
      </c>
      <c r="D373" s="2" t="s">
        <v>417</v>
      </c>
      <c r="E373" s="2" t="s">
        <v>886</v>
      </c>
      <c r="F373" s="2" t="s">
        <v>1438</v>
      </c>
      <c r="G373" s="2" t="s">
        <v>940</v>
      </c>
      <c r="H373" s="2" t="s">
        <v>888</v>
      </c>
      <c r="I373" s="2" t="s">
        <v>1121</v>
      </c>
      <c r="J373" s="2" t="s">
        <v>1439</v>
      </c>
      <c r="K373" s="2"/>
      <c r="L373" s="2" t="s">
        <v>635</v>
      </c>
      <c r="M373" s="2" t="s">
        <v>891</v>
      </c>
      <c r="N373" s="2" t="s">
        <v>1066</v>
      </c>
      <c r="O373" s="2" t="s">
        <v>893</v>
      </c>
    </row>
    <row r="374" spans="1:15" ht="57">
      <c r="A374" s="2" t="s">
        <v>1440</v>
      </c>
      <c r="B374" s="2" t="s">
        <v>415</v>
      </c>
      <c r="C374" s="2" t="s">
        <v>584</v>
      </c>
      <c r="D374" s="2" t="s">
        <v>417</v>
      </c>
      <c r="E374" s="2" t="s">
        <v>886</v>
      </c>
      <c r="F374" s="2" t="s">
        <v>1441</v>
      </c>
      <c r="G374" s="2" t="s">
        <v>496</v>
      </c>
      <c r="H374" s="2" t="s">
        <v>888</v>
      </c>
      <c r="I374" s="2" t="s">
        <v>1121</v>
      </c>
      <c r="J374" s="2" t="s">
        <v>1442</v>
      </c>
      <c r="K374" s="2"/>
      <c r="L374" s="2" t="s">
        <v>635</v>
      </c>
      <c r="M374" s="2" t="s">
        <v>891</v>
      </c>
      <c r="N374" s="2" t="s">
        <v>1066</v>
      </c>
      <c r="O374" s="2" t="s">
        <v>893</v>
      </c>
    </row>
    <row r="375" spans="1:15" ht="71.25">
      <c r="A375" s="2" t="s">
        <v>1443</v>
      </c>
      <c r="B375" s="2" t="s">
        <v>421</v>
      </c>
      <c r="C375" s="2" t="s">
        <v>584</v>
      </c>
      <c r="D375" s="2" t="s">
        <v>423</v>
      </c>
      <c r="E375" s="2" t="s">
        <v>886</v>
      </c>
      <c r="F375" s="2" t="s">
        <v>1444</v>
      </c>
      <c r="G375" s="2" t="s">
        <v>1445</v>
      </c>
      <c r="H375" s="2" t="s">
        <v>888</v>
      </c>
      <c r="I375" s="2" t="s">
        <v>1089</v>
      </c>
      <c r="J375" s="2" t="s">
        <v>1446</v>
      </c>
      <c r="K375" s="2"/>
      <c r="L375" s="2" t="s">
        <v>635</v>
      </c>
      <c r="M375" s="2" t="s">
        <v>891</v>
      </c>
      <c r="N375" s="2" t="s">
        <v>1066</v>
      </c>
      <c r="O375" s="2" t="s">
        <v>893</v>
      </c>
    </row>
    <row r="376" spans="1:15" ht="28.5">
      <c r="A376" s="2" t="s">
        <v>1447</v>
      </c>
      <c r="B376" s="2" t="s">
        <v>421</v>
      </c>
      <c r="C376" s="2" t="s">
        <v>584</v>
      </c>
      <c r="D376" s="2" t="s">
        <v>423</v>
      </c>
      <c r="E376" s="2" t="s">
        <v>886</v>
      </c>
      <c r="F376" s="2" t="s">
        <v>1448</v>
      </c>
      <c r="G376" s="2" t="s">
        <v>496</v>
      </c>
      <c r="H376" s="2" t="s">
        <v>888</v>
      </c>
      <c r="I376" s="2" t="s">
        <v>1089</v>
      </c>
      <c r="J376" s="2" t="s">
        <v>1449</v>
      </c>
      <c r="K376" s="2"/>
      <c r="L376" s="2" t="s">
        <v>635</v>
      </c>
      <c r="M376" s="2" t="s">
        <v>891</v>
      </c>
      <c r="N376" s="2" t="s">
        <v>1066</v>
      </c>
      <c r="O376" s="2" t="s">
        <v>893</v>
      </c>
    </row>
    <row r="377" spans="1:15" ht="57">
      <c r="A377" s="2" t="s">
        <v>1450</v>
      </c>
      <c r="B377" s="2" t="s">
        <v>421</v>
      </c>
      <c r="C377" s="2" t="s">
        <v>584</v>
      </c>
      <c r="D377" s="2" t="s">
        <v>423</v>
      </c>
      <c r="E377" s="2" t="s">
        <v>886</v>
      </c>
      <c r="F377" s="2" t="s">
        <v>1451</v>
      </c>
      <c r="G377" s="2" t="s">
        <v>916</v>
      </c>
      <c r="H377" s="2" t="s">
        <v>888</v>
      </c>
      <c r="I377" s="2" t="s">
        <v>1069</v>
      </c>
      <c r="J377" s="2" t="s">
        <v>1452</v>
      </c>
      <c r="K377" s="2"/>
      <c r="L377" s="2" t="s">
        <v>588</v>
      </c>
      <c r="M377" s="2" t="s">
        <v>891</v>
      </c>
      <c r="N377" s="2" t="s">
        <v>1066</v>
      </c>
      <c r="O377" s="2" t="s">
        <v>893</v>
      </c>
    </row>
    <row r="378" spans="1:15" ht="42.75">
      <c r="A378" s="2" t="s">
        <v>1453</v>
      </c>
      <c r="B378" s="2" t="s">
        <v>426</v>
      </c>
      <c r="C378" s="2" t="s">
        <v>584</v>
      </c>
      <c r="D378" s="2" t="s">
        <v>428</v>
      </c>
      <c r="E378" s="2" t="s">
        <v>886</v>
      </c>
      <c r="F378" s="2" t="s">
        <v>1454</v>
      </c>
      <c r="G378" s="2" t="s">
        <v>539</v>
      </c>
      <c r="H378" s="2" t="s">
        <v>888</v>
      </c>
      <c r="I378" s="2" t="s">
        <v>1089</v>
      </c>
      <c r="J378" s="2" t="s">
        <v>1455</v>
      </c>
      <c r="K378" s="2"/>
      <c r="L378" s="2" t="s">
        <v>635</v>
      </c>
      <c r="M378" s="2" t="s">
        <v>891</v>
      </c>
      <c r="N378" s="2" t="s">
        <v>1066</v>
      </c>
      <c r="O378" s="2" t="s">
        <v>893</v>
      </c>
    </row>
    <row r="379" spans="1:15" ht="42.75">
      <c r="A379" s="2" t="s">
        <v>1456</v>
      </c>
      <c r="B379" s="2" t="s">
        <v>426</v>
      </c>
      <c r="C379" s="2" t="s">
        <v>584</v>
      </c>
      <c r="D379" s="2" t="s">
        <v>428</v>
      </c>
      <c r="E379" s="2" t="s">
        <v>886</v>
      </c>
      <c r="F379" s="2" t="s">
        <v>1457</v>
      </c>
      <c r="G379" s="2" t="s">
        <v>496</v>
      </c>
      <c r="H379" s="2" t="s">
        <v>888</v>
      </c>
      <c r="I379" s="2" t="s">
        <v>1089</v>
      </c>
      <c r="J379" s="2" t="s">
        <v>1458</v>
      </c>
      <c r="K379" s="2"/>
      <c r="L379" s="2" t="s">
        <v>635</v>
      </c>
      <c r="M379" s="2" t="s">
        <v>891</v>
      </c>
      <c r="N379" s="2" t="s">
        <v>1066</v>
      </c>
      <c r="O379" s="2" t="s">
        <v>893</v>
      </c>
    </row>
    <row r="380" spans="1:15" ht="128.25">
      <c r="A380" s="2" t="s">
        <v>1459</v>
      </c>
      <c r="B380" s="2" t="s">
        <v>426</v>
      </c>
      <c r="C380" s="2" t="s">
        <v>584</v>
      </c>
      <c r="D380" s="2" t="s">
        <v>428</v>
      </c>
      <c r="E380" s="2" t="s">
        <v>886</v>
      </c>
      <c r="F380" s="2" t="s">
        <v>1460</v>
      </c>
      <c r="G380" s="2" t="s">
        <v>1159</v>
      </c>
      <c r="H380" s="2" t="s">
        <v>888</v>
      </c>
      <c r="I380" s="2" t="s">
        <v>1089</v>
      </c>
      <c r="J380" s="2" t="s">
        <v>1461</v>
      </c>
      <c r="K380" s="2"/>
      <c r="L380" s="2" t="s">
        <v>635</v>
      </c>
      <c r="M380" s="2" t="s">
        <v>891</v>
      </c>
      <c r="N380" s="2" t="s">
        <v>1066</v>
      </c>
      <c r="O380" s="2" t="s">
        <v>893</v>
      </c>
    </row>
    <row r="381" spans="1:15" ht="28.5">
      <c r="A381" s="2" t="s">
        <v>1462</v>
      </c>
      <c r="B381" s="2" t="s">
        <v>426</v>
      </c>
      <c r="C381" s="2" t="s">
        <v>584</v>
      </c>
      <c r="D381" s="2" t="s">
        <v>428</v>
      </c>
      <c r="E381" s="2" t="s">
        <v>886</v>
      </c>
      <c r="F381" s="2" t="s">
        <v>1463</v>
      </c>
      <c r="G381" s="2" t="s">
        <v>496</v>
      </c>
      <c r="H381" s="2" t="s">
        <v>888</v>
      </c>
      <c r="I381" s="2" t="s">
        <v>1089</v>
      </c>
      <c r="J381" s="2" t="s">
        <v>1464</v>
      </c>
      <c r="K381" s="2"/>
      <c r="L381" s="2" t="s">
        <v>635</v>
      </c>
      <c r="M381" s="2" t="s">
        <v>891</v>
      </c>
      <c r="N381" s="2" t="s">
        <v>1066</v>
      </c>
      <c r="O381" s="2" t="s">
        <v>893</v>
      </c>
    </row>
    <row r="382" spans="1:15" ht="42.75">
      <c r="A382" s="2" t="s">
        <v>1465</v>
      </c>
      <c r="B382" s="2" t="s">
        <v>426</v>
      </c>
      <c r="C382" s="2" t="s">
        <v>584</v>
      </c>
      <c r="D382" s="2" t="s">
        <v>428</v>
      </c>
      <c r="E382" s="2" t="s">
        <v>886</v>
      </c>
      <c r="F382" s="2" t="s">
        <v>1466</v>
      </c>
      <c r="G382" s="2" t="s">
        <v>496</v>
      </c>
      <c r="H382" s="2" t="s">
        <v>888</v>
      </c>
      <c r="I382" s="2" t="s">
        <v>1089</v>
      </c>
      <c r="J382" s="2" t="s">
        <v>1467</v>
      </c>
      <c r="K382" s="2"/>
      <c r="L382" s="2" t="s">
        <v>635</v>
      </c>
      <c r="M382" s="2" t="s">
        <v>891</v>
      </c>
      <c r="N382" s="2" t="s">
        <v>1066</v>
      </c>
      <c r="O382" s="2" t="s">
        <v>893</v>
      </c>
    </row>
    <row r="383" spans="1:15" ht="28.5">
      <c r="A383" s="2" t="s">
        <v>1468</v>
      </c>
      <c r="B383" s="2" t="s">
        <v>431</v>
      </c>
      <c r="C383" s="2" t="s">
        <v>584</v>
      </c>
      <c r="D383" s="2" t="s">
        <v>435</v>
      </c>
      <c r="E383" s="2" t="s">
        <v>886</v>
      </c>
      <c r="F383" s="2" t="s">
        <v>1469</v>
      </c>
      <c r="G383" s="2" t="s">
        <v>496</v>
      </c>
      <c r="H383" s="2" t="s">
        <v>888</v>
      </c>
      <c r="I383" s="2" t="s">
        <v>1470</v>
      </c>
      <c r="J383" s="2" t="s">
        <v>1471</v>
      </c>
      <c r="K383" s="2"/>
      <c r="L383" s="2" t="s">
        <v>635</v>
      </c>
      <c r="M383" s="2" t="s">
        <v>891</v>
      </c>
      <c r="N383" s="2" t="s">
        <v>1066</v>
      </c>
      <c r="O383" s="2" t="s">
        <v>893</v>
      </c>
    </row>
    <row r="384" spans="1:15" ht="28.5">
      <c r="A384" s="2" t="s">
        <v>1472</v>
      </c>
      <c r="B384" s="2" t="s">
        <v>431</v>
      </c>
      <c r="C384" s="2" t="s">
        <v>584</v>
      </c>
      <c r="D384" s="2" t="s">
        <v>435</v>
      </c>
      <c r="E384" s="2" t="s">
        <v>886</v>
      </c>
      <c r="F384" s="2" t="s">
        <v>1473</v>
      </c>
      <c r="G384" s="2" t="s">
        <v>920</v>
      </c>
      <c r="H384" s="2" t="s">
        <v>888</v>
      </c>
      <c r="I384" s="2" t="s">
        <v>1077</v>
      </c>
      <c r="J384" s="2" t="s">
        <v>1474</v>
      </c>
      <c r="K384" s="2"/>
      <c r="L384" s="2" t="s">
        <v>588</v>
      </c>
      <c r="M384" s="2" t="s">
        <v>891</v>
      </c>
      <c r="N384" s="2" t="s">
        <v>1066</v>
      </c>
      <c r="O384" s="2" t="s">
        <v>893</v>
      </c>
    </row>
    <row r="385" spans="1:15" ht="85.5">
      <c r="A385" s="2" t="s">
        <v>1475</v>
      </c>
      <c r="B385" s="2" t="s">
        <v>431</v>
      </c>
      <c r="C385" s="2" t="s">
        <v>584</v>
      </c>
      <c r="D385" s="2" t="s">
        <v>435</v>
      </c>
      <c r="E385" s="2" t="s">
        <v>886</v>
      </c>
      <c r="F385" s="2" t="s">
        <v>1476</v>
      </c>
      <c r="G385" s="2" t="s">
        <v>496</v>
      </c>
      <c r="H385" s="2" t="s">
        <v>888</v>
      </c>
      <c r="I385" s="2" t="s">
        <v>1121</v>
      </c>
      <c r="J385" s="2" t="s">
        <v>1477</v>
      </c>
      <c r="K385" s="2"/>
      <c r="L385" s="2" t="s">
        <v>635</v>
      </c>
      <c r="M385" s="2" t="s">
        <v>891</v>
      </c>
      <c r="N385" s="2" t="s">
        <v>1066</v>
      </c>
      <c r="O385" s="2" t="s">
        <v>893</v>
      </c>
    </row>
    <row r="386" spans="1:15" ht="57">
      <c r="A386" s="2" t="s">
        <v>1478</v>
      </c>
      <c r="B386" s="2" t="s">
        <v>440</v>
      </c>
      <c r="C386" s="2" t="s">
        <v>584</v>
      </c>
      <c r="D386" s="2" t="s">
        <v>442</v>
      </c>
      <c r="E386" s="2" t="s">
        <v>886</v>
      </c>
      <c r="F386" s="2" t="s">
        <v>1479</v>
      </c>
      <c r="G386" s="2" t="s">
        <v>920</v>
      </c>
      <c r="H386" s="2" t="s">
        <v>888</v>
      </c>
      <c r="I386" s="2" t="s">
        <v>1470</v>
      </c>
      <c r="J386" s="2" t="s">
        <v>1480</v>
      </c>
      <c r="K386" s="2"/>
      <c r="L386" s="2" t="s">
        <v>635</v>
      </c>
      <c r="M386" s="2" t="s">
        <v>891</v>
      </c>
      <c r="N386" s="2" t="s">
        <v>1066</v>
      </c>
      <c r="O386" s="2" t="s">
        <v>893</v>
      </c>
    </row>
    <row r="387" spans="1:15" ht="28.5">
      <c r="A387" s="2" t="s">
        <v>1481</v>
      </c>
      <c r="B387" s="2" t="s">
        <v>440</v>
      </c>
      <c r="C387" s="2" t="s">
        <v>584</v>
      </c>
      <c r="D387" s="2" t="s">
        <v>442</v>
      </c>
      <c r="E387" s="2" t="s">
        <v>886</v>
      </c>
      <c r="F387" s="2" t="s">
        <v>1482</v>
      </c>
      <c r="G387" s="2" t="s">
        <v>496</v>
      </c>
      <c r="H387" s="2" t="s">
        <v>888</v>
      </c>
      <c r="I387" s="2" t="s">
        <v>1089</v>
      </c>
      <c r="J387" s="2" t="s">
        <v>1483</v>
      </c>
      <c r="K387" s="2"/>
      <c r="L387" s="2" t="s">
        <v>635</v>
      </c>
      <c r="M387" s="2" t="s">
        <v>891</v>
      </c>
      <c r="N387" s="2" t="s">
        <v>1066</v>
      </c>
      <c r="O387" s="2" t="s">
        <v>893</v>
      </c>
    </row>
    <row r="388" spans="1:15" ht="42.75">
      <c r="A388" s="2" t="s">
        <v>1484</v>
      </c>
      <c r="B388" s="2" t="s">
        <v>446</v>
      </c>
      <c r="C388" s="2" t="s">
        <v>584</v>
      </c>
      <c r="D388" s="2" t="s">
        <v>449</v>
      </c>
      <c r="E388" s="2" t="s">
        <v>886</v>
      </c>
      <c r="F388" s="2" t="s">
        <v>1485</v>
      </c>
      <c r="G388" s="2" t="s">
        <v>496</v>
      </c>
      <c r="H388" s="2" t="s">
        <v>888</v>
      </c>
      <c r="I388" s="2" t="s">
        <v>1089</v>
      </c>
      <c r="J388" s="2" t="s">
        <v>1486</v>
      </c>
      <c r="K388" s="2"/>
      <c r="L388" s="2" t="s">
        <v>635</v>
      </c>
      <c r="M388" s="2" t="s">
        <v>891</v>
      </c>
      <c r="N388" s="2" t="s">
        <v>1066</v>
      </c>
      <c r="O388" s="2" t="s">
        <v>893</v>
      </c>
    </row>
    <row r="389" spans="1:15" ht="28.5">
      <c r="A389" s="2" t="s">
        <v>1487</v>
      </c>
      <c r="B389" s="2" t="s">
        <v>446</v>
      </c>
      <c r="C389" s="2" t="s">
        <v>584</v>
      </c>
      <c r="D389" s="2" t="s">
        <v>449</v>
      </c>
      <c r="E389" s="2" t="s">
        <v>886</v>
      </c>
      <c r="F389" s="2" t="s">
        <v>1488</v>
      </c>
      <c r="G389" s="2" t="s">
        <v>988</v>
      </c>
      <c r="H389" s="2" t="s">
        <v>888</v>
      </c>
      <c r="I389" s="2" t="s">
        <v>1089</v>
      </c>
      <c r="J389" s="2" t="s">
        <v>1489</v>
      </c>
      <c r="K389" s="2"/>
      <c r="L389" s="2" t="s">
        <v>635</v>
      </c>
      <c r="M389" s="2" t="s">
        <v>891</v>
      </c>
      <c r="N389" s="2" t="s">
        <v>1066</v>
      </c>
      <c r="O389" s="2" t="s">
        <v>893</v>
      </c>
    </row>
    <row r="390" spans="1:15" ht="28.5">
      <c r="A390" s="2" t="s">
        <v>1490</v>
      </c>
      <c r="B390" s="2" t="s">
        <v>446</v>
      </c>
      <c r="C390" s="2" t="s">
        <v>584</v>
      </c>
      <c r="D390" s="2" t="s">
        <v>449</v>
      </c>
      <c r="E390" s="2" t="s">
        <v>886</v>
      </c>
      <c r="F390" s="2" t="s">
        <v>1491</v>
      </c>
      <c r="G390" s="2" t="s">
        <v>496</v>
      </c>
      <c r="H390" s="2" t="s">
        <v>888</v>
      </c>
      <c r="I390" s="2" t="s">
        <v>1089</v>
      </c>
      <c r="J390" s="2" t="s">
        <v>1492</v>
      </c>
      <c r="K390" s="2"/>
      <c r="L390" s="2" t="s">
        <v>635</v>
      </c>
      <c r="M390" s="2" t="s">
        <v>891</v>
      </c>
      <c r="N390" s="2" t="s">
        <v>1066</v>
      </c>
      <c r="O390" s="2" t="s">
        <v>893</v>
      </c>
    </row>
    <row r="391" spans="1:15" ht="99.75">
      <c r="A391" s="2" t="s">
        <v>1493</v>
      </c>
      <c r="B391" s="2" t="s">
        <v>446</v>
      </c>
      <c r="C391" s="2" t="s">
        <v>584</v>
      </c>
      <c r="D391" s="2" t="s">
        <v>449</v>
      </c>
      <c r="E391" s="2" t="s">
        <v>886</v>
      </c>
      <c r="F391" s="2" t="s">
        <v>1494</v>
      </c>
      <c r="G391" s="2" t="s">
        <v>1495</v>
      </c>
      <c r="H391" s="2" t="s">
        <v>888</v>
      </c>
      <c r="I391" s="2" t="s">
        <v>1089</v>
      </c>
      <c r="J391" s="2" t="s">
        <v>1496</v>
      </c>
      <c r="K391" s="2"/>
      <c r="L391" s="2" t="s">
        <v>635</v>
      </c>
      <c r="M391" s="2" t="s">
        <v>891</v>
      </c>
      <c r="N391" s="2" t="s">
        <v>1066</v>
      </c>
      <c r="O391" s="2" t="s">
        <v>893</v>
      </c>
    </row>
    <row r="392" spans="1:15" ht="28.5">
      <c r="A392" s="2" t="s">
        <v>1497</v>
      </c>
      <c r="B392" s="2" t="s">
        <v>446</v>
      </c>
      <c r="C392" s="2" t="s">
        <v>584</v>
      </c>
      <c r="D392" s="2" t="s">
        <v>449</v>
      </c>
      <c r="E392" s="2" t="s">
        <v>886</v>
      </c>
      <c r="F392" s="2" t="s">
        <v>1498</v>
      </c>
      <c r="G392" s="2" t="s">
        <v>496</v>
      </c>
      <c r="H392" s="2" t="s">
        <v>888</v>
      </c>
      <c r="I392" s="2" t="s">
        <v>1089</v>
      </c>
      <c r="J392" s="2" t="s">
        <v>1499</v>
      </c>
      <c r="K392" s="2"/>
      <c r="L392" s="2" t="s">
        <v>635</v>
      </c>
      <c r="M392" s="2" t="s">
        <v>891</v>
      </c>
      <c r="N392" s="2" t="s">
        <v>1066</v>
      </c>
      <c r="O392" s="2" t="s">
        <v>893</v>
      </c>
    </row>
    <row r="393" spans="1:15" ht="57">
      <c r="A393" s="2" t="s">
        <v>1500</v>
      </c>
      <c r="B393" s="2" t="s">
        <v>446</v>
      </c>
      <c r="C393" s="2" t="s">
        <v>584</v>
      </c>
      <c r="D393" s="2" t="s">
        <v>449</v>
      </c>
      <c r="E393" s="2" t="s">
        <v>886</v>
      </c>
      <c r="F393" s="2" t="s">
        <v>1501</v>
      </c>
      <c r="G393" s="2" t="s">
        <v>916</v>
      </c>
      <c r="H393" s="2" t="s">
        <v>888</v>
      </c>
      <c r="I393" s="2" t="s">
        <v>1121</v>
      </c>
      <c r="J393" s="2" t="s">
        <v>1502</v>
      </c>
      <c r="K393" s="2"/>
      <c r="L393" s="2" t="s">
        <v>635</v>
      </c>
      <c r="M393" s="2" t="s">
        <v>891</v>
      </c>
      <c r="N393" s="2" t="s">
        <v>1066</v>
      </c>
      <c r="O393" s="2" t="s">
        <v>893</v>
      </c>
    </row>
    <row r="394" spans="1:15" ht="71.25">
      <c r="A394" s="2" t="s">
        <v>1503</v>
      </c>
      <c r="B394" s="2" t="s">
        <v>453</v>
      </c>
      <c r="C394" s="2" t="s">
        <v>584</v>
      </c>
      <c r="D394" s="2" t="s">
        <v>455</v>
      </c>
      <c r="E394" s="2" t="s">
        <v>886</v>
      </c>
      <c r="F394" s="2" t="s">
        <v>1504</v>
      </c>
      <c r="G394" s="2" t="s">
        <v>960</v>
      </c>
      <c r="H394" s="2" t="s">
        <v>888</v>
      </c>
      <c r="I394" s="2" t="s">
        <v>1470</v>
      </c>
      <c r="J394" s="2" t="s">
        <v>1505</v>
      </c>
      <c r="K394" s="2"/>
      <c r="L394" s="2" t="s">
        <v>635</v>
      </c>
      <c r="M394" s="2" t="s">
        <v>891</v>
      </c>
      <c r="N394" s="2" t="s">
        <v>1066</v>
      </c>
      <c r="O394" s="2" t="s">
        <v>893</v>
      </c>
    </row>
    <row r="395" spans="1:15" ht="28.5">
      <c r="A395" s="2" t="s">
        <v>1506</v>
      </c>
      <c r="B395" s="2" t="s">
        <v>453</v>
      </c>
      <c r="C395" s="2" t="s">
        <v>584</v>
      </c>
      <c r="D395" s="2" t="s">
        <v>455</v>
      </c>
      <c r="E395" s="2" t="s">
        <v>886</v>
      </c>
      <c r="F395" s="2" t="s">
        <v>1507</v>
      </c>
      <c r="G395" s="2" t="s">
        <v>496</v>
      </c>
      <c r="H395" s="2" t="s">
        <v>888</v>
      </c>
      <c r="I395" s="2" t="s">
        <v>1089</v>
      </c>
      <c r="J395" s="2" t="s">
        <v>1508</v>
      </c>
      <c r="K395" s="2"/>
      <c r="L395" s="2" t="s">
        <v>635</v>
      </c>
      <c r="M395" s="2" t="s">
        <v>891</v>
      </c>
      <c r="N395" s="2" t="s">
        <v>1066</v>
      </c>
      <c r="O395" s="2" t="s">
        <v>893</v>
      </c>
    </row>
    <row r="396" spans="1:15" ht="71.25">
      <c r="A396" s="2" t="s">
        <v>1509</v>
      </c>
      <c r="B396" s="2" t="s">
        <v>453</v>
      </c>
      <c r="C396" s="2" t="s">
        <v>584</v>
      </c>
      <c r="D396" s="2" t="s">
        <v>455</v>
      </c>
      <c r="E396" s="2" t="s">
        <v>886</v>
      </c>
      <c r="F396" s="2" t="s">
        <v>1510</v>
      </c>
      <c r="G396" s="2" t="s">
        <v>1511</v>
      </c>
      <c r="H396" s="2" t="s">
        <v>888</v>
      </c>
      <c r="I396" s="2" t="s">
        <v>1121</v>
      </c>
      <c r="J396" s="2" t="s">
        <v>1512</v>
      </c>
      <c r="K396" s="2"/>
      <c r="L396" s="2" t="s">
        <v>635</v>
      </c>
      <c r="M396" s="2" t="s">
        <v>891</v>
      </c>
      <c r="N396" s="2" t="s">
        <v>1066</v>
      </c>
      <c r="O396" s="2" t="s">
        <v>893</v>
      </c>
    </row>
    <row r="397" spans="1:15" ht="85.5">
      <c r="A397" s="2" t="s">
        <v>1513</v>
      </c>
      <c r="B397" s="2" t="s">
        <v>459</v>
      </c>
      <c r="C397" s="2" t="s">
        <v>584</v>
      </c>
      <c r="D397" s="2" t="s">
        <v>461</v>
      </c>
      <c r="E397" s="2" t="s">
        <v>886</v>
      </c>
      <c r="F397" s="2" t="s">
        <v>1514</v>
      </c>
      <c r="G397" s="2" t="s">
        <v>1515</v>
      </c>
      <c r="H397" s="2" t="s">
        <v>888</v>
      </c>
      <c r="I397" s="2" t="s">
        <v>1516</v>
      </c>
      <c r="J397" s="2" t="s">
        <v>1517</v>
      </c>
      <c r="K397" s="2"/>
      <c r="L397" s="2" t="s">
        <v>635</v>
      </c>
      <c r="M397" s="2" t="s">
        <v>891</v>
      </c>
      <c r="N397" s="2" t="s">
        <v>1066</v>
      </c>
      <c r="O397" s="2" t="s">
        <v>893</v>
      </c>
    </row>
    <row r="398" spans="1:15" ht="85.5">
      <c r="A398" s="2" t="s">
        <v>1518</v>
      </c>
      <c r="B398" s="2" t="s">
        <v>459</v>
      </c>
      <c r="C398" s="2" t="s">
        <v>584</v>
      </c>
      <c r="D398" s="2" t="s">
        <v>461</v>
      </c>
      <c r="E398" s="2" t="s">
        <v>886</v>
      </c>
      <c r="F398" s="2" t="s">
        <v>1519</v>
      </c>
      <c r="G398" s="2" t="s">
        <v>1151</v>
      </c>
      <c r="H398" s="2" t="s">
        <v>888</v>
      </c>
      <c r="I398" s="2" t="s">
        <v>1077</v>
      </c>
      <c r="J398" s="2" t="s">
        <v>1520</v>
      </c>
      <c r="K398" s="2"/>
      <c r="L398" s="2" t="s">
        <v>588</v>
      </c>
      <c r="M398" s="2" t="s">
        <v>891</v>
      </c>
      <c r="N398" s="2" t="s">
        <v>1066</v>
      </c>
      <c r="O398" s="2" t="s">
        <v>893</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1"/>
  <sheetViews>
    <sheetView workbookViewId="0"/>
  </sheetViews>
  <sheetFormatPr defaultRowHeight="14.25"/>
  <cols>
    <col min="1" max="1" width="10" customWidth="1"/>
    <col min="2" max="2" width="28" customWidth="1"/>
    <col min="3" max="3" width="34" customWidth="1"/>
    <col min="4" max="5" width="16" customWidth="1"/>
    <col min="6" max="7" width="13" customWidth="1"/>
    <col min="8" max="9" width="16" customWidth="1"/>
    <col min="10" max="10" width="48" customWidth="1"/>
    <col min="11" max="11" width="58" customWidth="1"/>
    <col min="12" max="12" width="20" customWidth="1"/>
    <col min="13" max="13" width="42" customWidth="1"/>
  </cols>
  <sheetData>
    <row r="1" spans="1:13" ht="32.1" customHeight="1">
      <c r="A1" s="4" t="s">
        <v>1521</v>
      </c>
      <c r="B1" s="4" t="s">
        <v>51</v>
      </c>
      <c r="C1" s="4" t="s">
        <v>57</v>
      </c>
      <c r="D1" s="4" t="s">
        <v>52</v>
      </c>
      <c r="E1" s="4" t="s">
        <v>465</v>
      </c>
      <c r="F1" s="4" t="s">
        <v>1522</v>
      </c>
      <c r="G1" s="4" t="s">
        <v>59</v>
      </c>
      <c r="H1" s="4" t="s">
        <v>1523</v>
      </c>
      <c r="I1" s="4" t="s">
        <v>482</v>
      </c>
      <c r="J1" s="4" t="s">
        <v>1524</v>
      </c>
      <c r="K1" s="4" t="s">
        <v>1525</v>
      </c>
      <c r="L1" s="4" t="s">
        <v>1526</v>
      </c>
      <c r="M1" s="4" t="s">
        <v>582</v>
      </c>
    </row>
    <row r="2" spans="1:13">
      <c r="A2" s="2">
        <v>1</v>
      </c>
      <c r="B2" s="2" t="s">
        <v>277</v>
      </c>
      <c r="C2" s="2" t="s">
        <v>280</v>
      </c>
      <c r="D2" s="2" t="s">
        <v>260</v>
      </c>
      <c r="E2" s="2" t="s">
        <v>485</v>
      </c>
      <c r="F2" s="5">
        <v>169000</v>
      </c>
      <c r="G2" s="2" t="s">
        <v>83</v>
      </c>
      <c r="H2" s="2">
        <v>8</v>
      </c>
      <c r="I2" s="2">
        <f>IFERROR(VLOOKUP(B2,'02_Recommendation_Attrs'!$A$2:$W$100,21,FALSE),"")</f>
        <v>0</v>
      </c>
      <c r="J2" s="2" t="str">
        <f>IFERROR(VLOOKUP(B2,'02_Recommendation_Attrs'!$A$2:$W$100,22,FALSE),"")</f>
        <v/>
      </c>
      <c r="K2" s="2" t="s">
        <v>1527</v>
      </c>
      <c r="L2" s="2" t="s">
        <v>1528</v>
      </c>
      <c r="M2" s="2" t="s">
        <v>1529</v>
      </c>
    </row>
    <row r="3" spans="1:13">
      <c r="A3" s="2">
        <v>2</v>
      </c>
      <c r="B3" s="2" t="s">
        <v>410</v>
      </c>
      <c r="C3" s="2" t="s">
        <v>412</v>
      </c>
      <c r="D3" s="2" t="s">
        <v>404</v>
      </c>
      <c r="E3" s="2" t="s">
        <v>485</v>
      </c>
      <c r="F3" s="5">
        <v>199000</v>
      </c>
      <c r="G3" s="2" t="s">
        <v>83</v>
      </c>
      <c r="H3" s="2">
        <v>5</v>
      </c>
      <c r="I3" s="2">
        <f>IFERROR(VLOOKUP(B3,'02_Recommendation_Attrs'!$A$2:$W$100,21,FALSE),"")</f>
        <v>0</v>
      </c>
      <c r="J3" s="2" t="str">
        <f>IFERROR(VLOOKUP(B3,'02_Recommendation_Attrs'!$A$2:$W$100,22,FALSE),"")</f>
        <v/>
      </c>
      <c r="K3" s="2" t="s">
        <v>1530</v>
      </c>
      <c r="L3" s="2" t="s">
        <v>1528</v>
      </c>
      <c r="M3" s="2" t="s">
        <v>1529</v>
      </c>
    </row>
    <row r="4" spans="1:13">
      <c r="A4" s="2">
        <v>3</v>
      </c>
      <c r="B4" s="2" t="s">
        <v>309</v>
      </c>
      <c r="C4" s="2" t="s">
        <v>314</v>
      </c>
      <c r="D4" s="2" t="s">
        <v>310</v>
      </c>
      <c r="E4" s="2" t="s">
        <v>485</v>
      </c>
      <c r="F4" s="5">
        <v>179000</v>
      </c>
      <c r="G4" s="2" t="s">
        <v>83</v>
      </c>
      <c r="H4" s="2">
        <v>4</v>
      </c>
      <c r="I4" s="2">
        <f>IFERROR(VLOOKUP(B4,'02_Recommendation_Attrs'!$A$2:$W$100,21,FALSE),"")</f>
        <v>0</v>
      </c>
      <c r="J4" s="2" t="str">
        <f>IFERROR(VLOOKUP(B4,'02_Recommendation_Attrs'!$A$2:$W$100,22,FALSE),"")</f>
        <v/>
      </c>
      <c r="K4" s="2" t="s">
        <v>1527</v>
      </c>
      <c r="L4" s="2" t="s">
        <v>1528</v>
      </c>
      <c r="M4" s="2" t="s">
        <v>1529</v>
      </c>
    </row>
    <row r="5" spans="1:13" ht="42.75">
      <c r="A5" s="2">
        <v>4</v>
      </c>
      <c r="B5" s="2" t="s">
        <v>180</v>
      </c>
      <c r="C5" s="2" t="s">
        <v>49</v>
      </c>
      <c r="D5" s="2" t="s">
        <v>140</v>
      </c>
      <c r="E5" s="2" t="s">
        <v>485</v>
      </c>
      <c r="F5" s="5">
        <v>79000</v>
      </c>
      <c r="G5" s="2" t="s">
        <v>83</v>
      </c>
      <c r="H5" s="2">
        <v>3</v>
      </c>
      <c r="I5" s="2">
        <f>IFERROR(VLOOKUP(B5,'02_Recommendation_Attrs'!$A$2:$W$100,21,FALSE),"")</f>
        <v>3</v>
      </c>
      <c r="J5" s="2" t="str">
        <f ca="1">IFERROR(VLOOKUP(B5,'02_Recommendation_Attrs'!$A$2:$W$100,22,FALSE),"")</f>
        <v/>
      </c>
      <c r="K5" s="2" t="s">
        <v>1531</v>
      </c>
      <c r="L5" s="2" t="s">
        <v>1532</v>
      </c>
      <c r="M5" s="2" t="s">
        <v>1533</v>
      </c>
    </row>
    <row r="6" spans="1:13">
      <c r="A6" s="2">
        <v>5</v>
      </c>
      <c r="B6" s="2" t="s">
        <v>153</v>
      </c>
      <c r="C6" s="2" t="s">
        <v>156</v>
      </c>
      <c r="D6" s="2" t="s">
        <v>140</v>
      </c>
      <c r="E6" s="2" t="s">
        <v>485</v>
      </c>
      <c r="F6" s="5">
        <v>159000</v>
      </c>
      <c r="G6" s="2" t="s">
        <v>83</v>
      </c>
      <c r="H6" s="2">
        <v>5</v>
      </c>
      <c r="I6" s="2">
        <f>IFERROR(VLOOKUP(B6,'02_Recommendation_Attrs'!$A$2:$W$100,21,FALSE),"")</f>
        <v>0</v>
      </c>
      <c r="J6" s="2" t="str">
        <f>IFERROR(VLOOKUP(B6,'02_Recommendation_Attrs'!$A$2:$W$100,22,FALSE),"")</f>
        <v/>
      </c>
      <c r="K6" s="2" t="s">
        <v>1527</v>
      </c>
      <c r="L6" s="2" t="s">
        <v>1528</v>
      </c>
      <c r="M6" s="2" t="s">
        <v>1529</v>
      </c>
    </row>
    <row r="7" spans="1:13">
      <c r="A7" s="2">
        <v>6</v>
      </c>
      <c r="B7" s="2" t="s">
        <v>272</v>
      </c>
      <c r="C7" s="2" t="s">
        <v>275</v>
      </c>
      <c r="D7" s="2" t="s">
        <v>260</v>
      </c>
      <c r="E7" s="2" t="s">
        <v>490</v>
      </c>
      <c r="F7" s="5">
        <v>199000</v>
      </c>
      <c r="G7" s="2" t="s">
        <v>83</v>
      </c>
      <c r="H7" s="2">
        <v>4</v>
      </c>
      <c r="I7" s="2">
        <f>IFERROR(VLOOKUP(B7,'02_Recommendation_Attrs'!$A$2:$W$100,21,FALSE),"")</f>
        <v>0</v>
      </c>
      <c r="J7" s="2" t="str">
        <f>IFERROR(VLOOKUP(B7,'02_Recommendation_Attrs'!$A$2:$W$100,22,FALSE),"")</f>
        <v/>
      </c>
      <c r="K7" s="2" t="s">
        <v>1527</v>
      </c>
      <c r="L7" s="2" t="s">
        <v>1528</v>
      </c>
      <c r="M7" s="2" t="s">
        <v>1529</v>
      </c>
    </row>
    <row r="8" spans="1:13">
      <c r="A8" s="2">
        <v>7</v>
      </c>
      <c r="B8" s="2" t="s">
        <v>341</v>
      </c>
      <c r="C8" s="2" t="s">
        <v>346</v>
      </c>
      <c r="D8" s="2" t="s">
        <v>342</v>
      </c>
      <c r="E8" s="2" t="s">
        <v>485</v>
      </c>
      <c r="F8" s="5">
        <v>169000</v>
      </c>
      <c r="G8" s="2" t="s">
        <v>83</v>
      </c>
      <c r="H8" s="2">
        <v>5</v>
      </c>
      <c r="I8" s="2">
        <f>IFERROR(VLOOKUP(B8,'02_Recommendation_Attrs'!$A$2:$W$100,21,FALSE),"")</f>
        <v>0</v>
      </c>
      <c r="J8" s="2" t="str">
        <f>IFERROR(VLOOKUP(B8,'02_Recommendation_Attrs'!$A$2:$W$100,22,FALSE),"")</f>
        <v/>
      </c>
      <c r="K8" s="2" t="s">
        <v>1530</v>
      </c>
      <c r="L8" s="2" t="s">
        <v>1528</v>
      </c>
      <c r="M8" s="2" t="s">
        <v>1529</v>
      </c>
    </row>
    <row r="9" spans="1:13" ht="28.5">
      <c r="A9" s="2">
        <v>8</v>
      </c>
      <c r="B9" s="2" t="s">
        <v>190</v>
      </c>
      <c r="C9" s="2" t="s">
        <v>196</v>
      </c>
      <c r="D9" s="2" t="s">
        <v>191</v>
      </c>
      <c r="E9" s="2" t="s">
        <v>490</v>
      </c>
      <c r="F9" s="5">
        <v>209000</v>
      </c>
      <c r="G9" s="2" t="s">
        <v>83</v>
      </c>
      <c r="H9" s="2">
        <v>5</v>
      </c>
      <c r="I9" s="2">
        <f>IFERROR(VLOOKUP(B9,'02_Recommendation_Attrs'!$A$2:$W$100,21,FALSE),"")</f>
        <v>0</v>
      </c>
      <c r="J9" s="2" t="str">
        <f>IFERROR(VLOOKUP(B9,'02_Recommendation_Attrs'!$A$2:$W$100,22,FALSE),"")</f>
        <v/>
      </c>
      <c r="K9" s="2" t="s">
        <v>1527</v>
      </c>
      <c r="L9" s="2" t="s">
        <v>1528</v>
      </c>
      <c r="M9" s="2" t="s">
        <v>1529</v>
      </c>
    </row>
    <row r="10" spans="1:13" ht="28.5">
      <c r="A10" s="2">
        <v>9</v>
      </c>
      <c r="B10" s="2" t="s">
        <v>200</v>
      </c>
      <c r="C10" s="2" t="s">
        <v>203</v>
      </c>
      <c r="D10" s="2" t="s">
        <v>191</v>
      </c>
      <c r="E10" s="2" t="s">
        <v>485</v>
      </c>
      <c r="F10" s="5">
        <v>189000</v>
      </c>
      <c r="G10" s="2" t="s">
        <v>83</v>
      </c>
      <c r="H10" s="2">
        <v>4</v>
      </c>
      <c r="I10" s="2">
        <f>IFERROR(VLOOKUP(B10,'02_Recommendation_Attrs'!$A$2:$W$100,21,FALSE),"")</f>
        <v>0</v>
      </c>
      <c r="J10" s="2" t="str">
        <f>IFERROR(VLOOKUP(B10,'02_Recommendation_Attrs'!$A$2:$W$100,22,FALSE),"")</f>
        <v/>
      </c>
      <c r="K10" s="2" t="s">
        <v>1527</v>
      </c>
      <c r="L10" s="2" t="s">
        <v>1528</v>
      </c>
      <c r="M10" s="2" t="s">
        <v>1529</v>
      </c>
    </row>
    <row r="11" spans="1:13">
      <c r="A11" s="2">
        <v>10</v>
      </c>
      <c r="B11" s="2" t="s">
        <v>93</v>
      </c>
      <c r="C11" s="2" t="s">
        <v>96</v>
      </c>
      <c r="D11" s="2" t="s">
        <v>77</v>
      </c>
      <c r="E11" s="2" t="s">
        <v>490</v>
      </c>
      <c r="F11" s="5">
        <v>189000</v>
      </c>
      <c r="G11" s="2" t="s">
        <v>83</v>
      </c>
      <c r="H11" s="2">
        <v>5</v>
      </c>
      <c r="I11" s="2">
        <f>IFERROR(VLOOKUP(B11,'02_Recommendation_Attrs'!$A$2:$W$100,21,FALSE),"")</f>
        <v>0</v>
      </c>
      <c r="J11" s="2" t="str">
        <f>IFERROR(VLOOKUP(B11,'02_Recommendation_Attrs'!$A$2:$W$100,22,FALSE),"")</f>
        <v/>
      </c>
      <c r="K11" s="2" t="s">
        <v>1527</v>
      </c>
      <c r="L11" s="2" t="s">
        <v>1528</v>
      </c>
      <c r="M11" s="2" t="s">
        <v>1529</v>
      </c>
    </row>
    <row r="12" spans="1:13">
      <c r="A12" s="2">
        <v>11</v>
      </c>
      <c r="B12" s="2" t="s">
        <v>371</v>
      </c>
      <c r="C12" s="2" t="s">
        <v>375</v>
      </c>
      <c r="D12" s="2" t="s">
        <v>372</v>
      </c>
      <c r="E12" s="2" t="s">
        <v>485</v>
      </c>
      <c r="F12" s="5">
        <v>179000</v>
      </c>
      <c r="G12" s="2" t="s">
        <v>83</v>
      </c>
      <c r="H12" s="2">
        <v>9</v>
      </c>
      <c r="I12" s="2">
        <f>IFERROR(VLOOKUP(B12,'02_Recommendation_Attrs'!$A$2:$W$100,21,FALSE),"")</f>
        <v>0</v>
      </c>
      <c r="J12" s="2" t="str">
        <f>IFERROR(VLOOKUP(B12,'02_Recommendation_Attrs'!$A$2:$W$100,22,FALSE),"")</f>
        <v/>
      </c>
      <c r="K12" s="2" t="s">
        <v>1530</v>
      </c>
      <c r="L12" s="2" t="s">
        <v>1528</v>
      </c>
      <c r="M12" s="2" t="s">
        <v>1529</v>
      </c>
    </row>
    <row r="13" spans="1:13">
      <c r="A13" s="2">
        <v>12</v>
      </c>
      <c r="B13" s="2" t="s">
        <v>318</v>
      </c>
      <c r="C13" s="2" t="s">
        <v>321</v>
      </c>
      <c r="D13" s="2" t="s">
        <v>310</v>
      </c>
      <c r="E13" s="2" t="s">
        <v>490</v>
      </c>
      <c r="F13" s="5">
        <v>199000</v>
      </c>
      <c r="G13" s="2" t="s">
        <v>83</v>
      </c>
      <c r="H13" s="2">
        <v>5</v>
      </c>
      <c r="I13" s="2">
        <f>IFERROR(VLOOKUP(B13,'02_Recommendation_Attrs'!$A$2:$W$100,21,FALSE),"")</f>
        <v>0</v>
      </c>
      <c r="J13" s="2" t="str">
        <f>IFERROR(VLOOKUP(B13,'02_Recommendation_Attrs'!$A$2:$W$100,22,FALSE),"")</f>
        <v/>
      </c>
      <c r="K13" s="2" t="s">
        <v>1534</v>
      </c>
      <c r="L13" s="2" t="s">
        <v>1528</v>
      </c>
      <c r="M13" s="2" t="s">
        <v>1529</v>
      </c>
    </row>
    <row r="14" spans="1:13">
      <c r="A14" s="2">
        <v>13</v>
      </c>
      <c r="B14" s="2" t="s">
        <v>259</v>
      </c>
      <c r="C14" s="2" t="s">
        <v>264</v>
      </c>
      <c r="D14" s="2" t="s">
        <v>260</v>
      </c>
      <c r="E14" s="2" t="s">
        <v>498</v>
      </c>
      <c r="F14" s="5">
        <v>199000</v>
      </c>
      <c r="G14" s="2" t="s">
        <v>83</v>
      </c>
      <c r="H14" s="2">
        <v>0</v>
      </c>
      <c r="I14" s="2">
        <f>IFERROR(VLOOKUP(B14,'02_Recommendation_Attrs'!$A$2:$W$100,21,FALSE),"")</f>
        <v>0</v>
      </c>
      <c r="J14" s="2" t="str">
        <f>IFERROR(VLOOKUP(B14,'02_Recommendation_Attrs'!$A$2:$W$100,22,FALSE),"")</f>
        <v/>
      </c>
      <c r="K14" s="2" t="s">
        <v>1527</v>
      </c>
      <c r="L14" s="2" t="s">
        <v>1528</v>
      </c>
      <c r="M14" s="2" t="s">
        <v>1529</v>
      </c>
    </row>
    <row r="15" spans="1:13">
      <c r="A15" s="2">
        <v>14</v>
      </c>
      <c r="B15" s="2" t="s">
        <v>349</v>
      </c>
      <c r="C15" s="2" t="s">
        <v>352</v>
      </c>
      <c r="D15" s="2" t="s">
        <v>342</v>
      </c>
      <c r="E15" s="2" t="s">
        <v>498</v>
      </c>
      <c r="F15" s="5">
        <v>169000</v>
      </c>
      <c r="G15" s="2" t="s">
        <v>83</v>
      </c>
      <c r="H15" s="2">
        <v>2</v>
      </c>
      <c r="I15" s="2">
        <f>IFERROR(VLOOKUP(B15,'02_Recommendation_Attrs'!$A$2:$W$100,21,FALSE),"")</f>
        <v>0</v>
      </c>
      <c r="J15" s="2" t="str">
        <f>IFERROR(VLOOKUP(B15,'02_Recommendation_Attrs'!$A$2:$W$100,22,FALSE),"")</f>
        <v/>
      </c>
      <c r="K15" s="2" t="s">
        <v>1535</v>
      </c>
      <c r="L15" s="2" t="s">
        <v>1528</v>
      </c>
      <c r="M15" s="2" t="s">
        <v>1529</v>
      </c>
    </row>
    <row r="16" spans="1:13" ht="28.5">
      <c r="A16" s="2">
        <v>15</v>
      </c>
      <c r="B16" s="2" t="s">
        <v>208</v>
      </c>
      <c r="C16" s="2" t="s">
        <v>211</v>
      </c>
      <c r="D16" s="2" t="s">
        <v>191</v>
      </c>
      <c r="E16" s="2" t="s">
        <v>498</v>
      </c>
      <c r="F16" s="5">
        <v>189000</v>
      </c>
      <c r="G16" s="2" t="s">
        <v>83</v>
      </c>
      <c r="H16" s="2">
        <v>4</v>
      </c>
      <c r="I16" s="2">
        <f>IFERROR(VLOOKUP(B16,'02_Recommendation_Attrs'!$A$2:$W$100,21,FALSE),"")</f>
        <v>0</v>
      </c>
      <c r="J16" s="2" t="str">
        <f>IFERROR(VLOOKUP(B16,'02_Recommendation_Attrs'!$A$2:$W$100,22,FALSE),"")</f>
        <v/>
      </c>
      <c r="K16" s="2" t="s">
        <v>1527</v>
      </c>
      <c r="L16" s="2" t="s">
        <v>1528</v>
      </c>
      <c r="M16" s="2" t="s">
        <v>1529</v>
      </c>
    </row>
    <row r="17" spans="1:13">
      <c r="A17" s="2">
        <v>16</v>
      </c>
      <c r="B17" s="2" t="s">
        <v>110</v>
      </c>
      <c r="C17" s="2" t="s">
        <v>113</v>
      </c>
      <c r="D17" s="2" t="s">
        <v>77</v>
      </c>
      <c r="E17" s="2" t="s">
        <v>498</v>
      </c>
      <c r="F17" s="5">
        <v>169000</v>
      </c>
      <c r="G17" s="2" t="s">
        <v>83</v>
      </c>
      <c r="H17" s="2">
        <v>5</v>
      </c>
      <c r="I17" s="2">
        <f>IFERROR(VLOOKUP(B17,'02_Recommendation_Attrs'!$A$2:$W$100,21,FALSE),"")</f>
        <v>0</v>
      </c>
      <c r="J17" s="2" t="str">
        <f>IFERROR(VLOOKUP(B17,'02_Recommendation_Attrs'!$A$2:$W$100,22,FALSE),"")</f>
        <v/>
      </c>
      <c r="K17" s="2" t="s">
        <v>1535</v>
      </c>
      <c r="L17" s="2" t="s">
        <v>1528</v>
      </c>
      <c r="M17" s="2" t="s">
        <v>1529</v>
      </c>
    </row>
    <row r="18" spans="1:13">
      <c r="A18" s="2">
        <v>17</v>
      </c>
      <c r="B18" s="2" t="s">
        <v>324</v>
      </c>
      <c r="C18" s="2" t="s">
        <v>326</v>
      </c>
      <c r="D18" s="2" t="s">
        <v>310</v>
      </c>
      <c r="E18" s="2" t="s">
        <v>498</v>
      </c>
      <c r="F18" s="5">
        <v>179000</v>
      </c>
      <c r="G18" s="2" t="s">
        <v>83</v>
      </c>
      <c r="H18" s="2">
        <v>4</v>
      </c>
      <c r="I18" s="2">
        <f>IFERROR(VLOOKUP(B18,'02_Recommendation_Attrs'!$A$2:$W$100,21,FALSE),"")</f>
        <v>0</v>
      </c>
      <c r="J18" s="2" t="str">
        <f>IFERROR(VLOOKUP(B18,'02_Recommendation_Attrs'!$A$2:$W$100,22,FALSE),"")</f>
        <v/>
      </c>
      <c r="K18" s="2" t="s">
        <v>1527</v>
      </c>
      <c r="L18" s="2" t="s">
        <v>1528</v>
      </c>
      <c r="M18" s="2" t="s">
        <v>1529</v>
      </c>
    </row>
    <row r="19" spans="1:13">
      <c r="A19" s="2">
        <v>18</v>
      </c>
      <c r="B19" s="2" t="s">
        <v>302</v>
      </c>
      <c r="C19" s="2" t="s">
        <v>304</v>
      </c>
      <c r="D19" s="2" t="s">
        <v>260</v>
      </c>
      <c r="E19" s="2" t="s">
        <v>502</v>
      </c>
      <c r="F19" s="5">
        <v>209000</v>
      </c>
      <c r="G19" s="2" t="s">
        <v>83</v>
      </c>
      <c r="H19" s="2">
        <v>0</v>
      </c>
      <c r="I19" s="2">
        <f>IFERROR(VLOOKUP(B19,'02_Recommendation_Attrs'!$A$2:$W$100,21,FALSE),"")</f>
        <v>0</v>
      </c>
      <c r="J19" s="2" t="str">
        <f>IFERROR(VLOOKUP(B19,'02_Recommendation_Attrs'!$A$2:$W$100,22,FALSE),"")</f>
        <v/>
      </c>
      <c r="K19" s="2" t="s">
        <v>1527</v>
      </c>
      <c r="L19" s="2" t="s">
        <v>1528</v>
      </c>
      <c r="M19" s="2" t="s">
        <v>1529</v>
      </c>
    </row>
    <row r="20" spans="1:13">
      <c r="A20" s="2">
        <v>19</v>
      </c>
      <c r="B20" s="2" t="s">
        <v>290</v>
      </c>
      <c r="C20" s="2" t="s">
        <v>291</v>
      </c>
      <c r="D20" s="2" t="s">
        <v>260</v>
      </c>
      <c r="E20" s="2" t="s">
        <v>502</v>
      </c>
      <c r="F20" s="5">
        <v>259000</v>
      </c>
      <c r="G20" s="2" t="s">
        <v>83</v>
      </c>
      <c r="H20" s="2">
        <v>1</v>
      </c>
      <c r="I20" s="2">
        <f>IFERROR(VLOOKUP(B20,'02_Recommendation_Attrs'!$A$2:$W$100,21,FALSE),"")</f>
        <v>0</v>
      </c>
      <c r="J20" s="2" t="str">
        <f>IFERROR(VLOOKUP(B20,'02_Recommendation_Attrs'!$A$2:$W$100,22,FALSE),"")</f>
        <v/>
      </c>
      <c r="K20" s="2" t="s">
        <v>1534</v>
      </c>
      <c r="L20" s="2" t="s">
        <v>1528</v>
      </c>
      <c r="M20" s="2" t="s">
        <v>1529</v>
      </c>
    </row>
    <row r="21" spans="1:13">
      <c r="A21" s="2">
        <v>20</v>
      </c>
      <c r="B21" s="2" t="s">
        <v>76</v>
      </c>
      <c r="C21" s="2" t="s">
        <v>81</v>
      </c>
      <c r="D21" s="2" t="s">
        <v>77</v>
      </c>
      <c r="E21" s="2" t="s">
        <v>485</v>
      </c>
      <c r="F21" s="5">
        <v>169000</v>
      </c>
      <c r="G21" s="2" t="s">
        <v>83</v>
      </c>
      <c r="H21" s="2">
        <v>7</v>
      </c>
      <c r="I21" s="2">
        <f>IFERROR(VLOOKUP(B21,'02_Recommendation_Attrs'!$A$2:$W$100,21,FALSE),"")</f>
        <v>0</v>
      </c>
      <c r="J21" s="2" t="str">
        <f>IFERROR(VLOOKUP(B21,'02_Recommendation_Attrs'!$A$2:$W$100,22,FALSE),"")</f>
        <v/>
      </c>
      <c r="K21" s="2" t="s">
        <v>1527</v>
      </c>
      <c r="L21" s="2" t="s">
        <v>1528</v>
      </c>
      <c r="M21" s="2" t="s">
        <v>1529</v>
      </c>
    </row>
    <row r="22" spans="1:13">
      <c r="A22" s="2">
        <v>21</v>
      </c>
      <c r="B22" s="2" t="s">
        <v>329</v>
      </c>
      <c r="C22" s="2" t="s">
        <v>331</v>
      </c>
      <c r="D22" s="2" t="s">
        <v>310</v>
      </c>
      <c r="E22" s="2" t="s">
        <v>502</v>
      </c>
      <c r="F22" s="5">
        <v>219000</v>
      </c>
      <c r="G22" s="2" t="s">
        <v>83</v>
      </c>
      <c r="H22" s="2">
        <v>6</v>
      </c>
      <c r="I22" s="2">
        <f>IFERROR(VLOOKUP(B22,'02_Recommendation_Attrs'!$A$2:$W$100,21,FALSE),"")</f>
        <v>0</v>
      </c>
      <c r="J22" s="2" t="str">
        <f>IFERROR(VLOOKUP(B22,'02_Recommendation_Attrs'!$A$2:$W$100,22,FALSE),"")</f>
        <v/>
      </c>
      <c r="K22" s="2" t="s">
        <v>1527</v>
      </c>
      <c r="L22" s="2" t="s">
        <v>1528</v>
      </c>
      <c r="M22" s="2" t="s">
        <v>1529</v>
      </c>
    </row>
    <row r="23" spans="1:13">
      <c r="A23" s="2">
        <v>22</v>
      </c>
      <c r="B23" s="2" t="s">
        <v>173</v>
      </c>
      <c r="C23" s="2" t="s">
        <v>175</v>
      </c>
      <c r="D23" s="2" t="s">
        <v>140</v>
      </c>
      <c r="E23" s="2" t="s">
        <v>502</v>
      </c>
      <c r="F23" s="5">
        <v>209000</v>
      </c>
      <c r="G23" s="2" t="s">
        <v>83</v>
      </c>
      <c r="H23" s="2">
        <v>1</v>
      </c>
      <c r="I23" s="2">
        <f>IFERROR(VLOOKUP(B23,'02_Recommendation_Attrs'!$A$2:$W$100,21,FALSE),"")</f>
        <v>0</v>
      </c>
      <c r="J23" s="2" t="str">
        <f>IFERROR(VLOOKUP(B23,'02_Recommendation_Attrs'!$A$2:$W$100,22,FALSE),"")</f>
        <v/>
      </c>
      <c r="K23" s="2" t="s">
        <v>1534</v>
      </c>
      <c r="L23" s="2" t="s">
        <v>1528</v>
      </c>
      <c r="M23" s="2" t="s">
        <v>1529</v>
      </c>
    </row>
    <row r="24" spans="1:13">
      <c r="A24" s="2">
        <v>23</v>
      </c>
      <c r="B24" s="2" t="s">
        <v>164</v>
      </c>
      <c r="C24" s="2" t="s">
        <v>168</v>
      </c>
      <c r="D24" s="2" t="s">
        <v>140</v>
      </c>
      <c r="E24" s="2" t="s">
        <v>502</v>
      </c>
      <c r="F24" s="5">
        <v>149000</v>
      </c>
      <c r="G24" s="2" t="s">
        <v>83</v>
      </c>
      <c r="H24" s="2">
        <v>3</v>
      </c>
      <c r="I24" s="2">
        <f>IFERROR(VLOOKUP(B24,'02_Recommendation_Attrs'!$A$2:$W$100,21,FALSE),"")</f>
        <v>0</v>
      </c>
      <c r="J24" s="2" t="str">
        <f>IFERROR(VLOOKUP(B24,'02_Recommendation_Attrs'!$A$2:$W$100,22,FALSE),"")</f>
        <v/>
      </c>
      <c r="K24" s="2" t="s">
        <v>1535</v>
      </c>
      <c r="L24" s="2" t="s">
        <v>1528</v>
      </c>
      <c r="M24" s="2" t="s">
        <v>1529</v>
      </c>
    </row>
    <row r="25" spans="1:13" ht="28.5">
      <c r="A25" s="2">
        <v>24</v>
      </c>
      <c r="B25" s="2" t="s">
        <v>292</v>
      </c>
      <c r="C25" s="2" t="s">
        <v>296</v>
      </c>
      <c r="D25" s="2" t="s">
        <v>260</v>
      </c>
      <c r="E25" s="2" t="s">
        <v>507</v>
      </c>
      <c r="F25" s="5">
        <v>329000</v>
      </c>
      <c r="G25" s="2" t="s">
        <v>83</v>
      </c>
      <c r="H25" s="2">
        <v>2</v>
      </c>
      <c r="I25" s="2">
        <f>IFERROR(VLOOKUP(B25,'02_Recommendation_Attrs'!$A$2:$W$100,21,FALSE),"")</f>
        <v>0</v>
      </c>
      <c r="J25" s="2" t="str">
        <f>IFERROR(VLOOKUP(B25,'02_Recommendation_Attrs'!$A$2:$W$100,22,FALSE),"")</f>
        <v/>
      </c>
      <c r="K25" s="2" t="s">
        <v>1534</v>
      </c>
      <c r="L25" s="2" t="s">
        <v>1528</v>
      </c>
      <c r="M25" s="2" t="s">
        <v>1529</v>
      </c>
    </row>
    <row r="26" spans="1:13" ht="28.5">
      <c r="A26" s="2">
        <v>25</v>
      </c>
      <c r="B26" s="2" t="s">
        <v>360</v>
      </c>
      <c r="C26" s="2" t="s">
        <v>362</v>
      </c>
      <c r="D26" s="2" t="s">
        <v>342</v>
      </c>
      <c r="E26" s="2" t="s">
        <v>502</v>
      </c>
      <c r="F26" s="5">
        <v>199000</v>
      </c>
      <c r="G26" s="2" t="s">
        <v>83</v>
      </c>
      <c r="H26" s="2">
        <v>4</v>
      </c>
      <c r="I26" s="2">
        <f>IFERROR(VLOOKUP(B26,'02_Recommendation_Attrs'!$A$2:$W$100,21,FALSE),"")</f>
        <v>0</v>
      </c>
      <c r="J26" s="2" t="str">
        <f>IFERROR(VLOOKUP(B26,'02_Recommendation_Attrs'!$A$2:$W$100,22,FALSE),"")</f>
        <v/>
      </c>
      <c r="K26" s="2" t="s">
        <v>1530</v>
      </c>
      <c r="L26" s="2" t="s">
        <v>1528</v>
      </c>
      <c r="M26" s="2" t="s">
        <v>1529</v>
      </c>
    </row>
    <row r="27" spans="1:13" ht="28.5">
      <c r="A27" s="2">
        <v>26</v>
      </c>
      <c r="B27" s="2" t="s">
        <v>214</v>
      </c>
      <c r="C27" s="2" t="s">
        <v>218</v>
      </c>
      <c r="D27" s="2" t="s">
        <v>191</v>
      </c>
      <c r="E27" s="2" t="s">
        <v>507</v>
      </c>
      <c r="F27" s="5">
        <v>349000</v>
      </c>
      <c r="G27" s="2" t="s">
        <v>83</v>
      </c>
      <c r="H27" s="2">
        <v>6</v>
      </c>
      <c r="I27" s="2">
        <f>IFERROR(VLOOKUP(B27,'02_Recommendation_Attrs'!$A$2:$W$100,21,FALSE),"")</f>
        <v>0</v>
      </c>
      <c r="J27" s="2" t="str">
        <f>IFERROR(VLOOKUP(B27,'02_Recommendation_Attrs'!$A$2:$W$100,22,FALSE),"")</f>
        <v/>
      </c>
      <c r="K27" s="2" t="s">
        <v>1527</v>
      </c>
      <c r="L27" s="2" t="s">
        <v>1528</v>
      </c>
      <c r="M27" s="2" t="s">
        <v>1529</v>
      </c>
    </row>
    <row r="28" spans="1:13">
      <c r="A28" s="2">
        <v>27</v>
      </c>
      <c r="B28" s="2" t="s">
        <v>392</v>
      </c>
      <c r="C28" s="2" t="s">
        <v>394</v>
      </c>
      <c r="D28" s="2" t="s">
        <v>372</v>
      </c>
      <c r="E28" s="2" t="s">
        <v>502</v>
      </c>
      <c r="F28" s="5">
        <v>219000</v>
      </c>
      <c r="G28" s="2" t="s">
        <v>83</v>
      </c>
      <c r="H28" s="2">
        <v>5</v>
      </c>
      <c r="I28" s="2">
        <f>IFERROR(VLOOKUP(B28,'02_Recommendation_Attrs'!$A$2:$W$100,21,FALSE),"")</f>
        <v>0</v>
      </c>
      <c r="J28" s="2" t="str">
        <f>IFERROR(VLOOKUP(B28,'02_Recommendation_Attrs'!$A$2:$W$100,22,FALSE),"")</f>
        <v/>
      </c>
      <c r="K28" s="2" t="s">
        <v>1530</v>
      </c>
      <c r="L28" s="2" t="s">
        <v>1528</v>
      </c>
      <c r="M28" s="2" t="s">
        <v>1529</v>
      </c>
    </row>
    <row r="29" spans="1:13">
      <c r="A29" s="2">
        <v>28</v>
      </c>
      <c r="B29" s="2" t="s">
        <v>397</v>
      </c>
      <c r="C29" s="2" t="s">
        <v>399</v>
      </c>
      <c r="D29" s="2" t="s">
        <v>372</v>
      </c>
      <c r="E29" s="2" t="s">
        <v>507</v>
      </c>
      <c r="F29" s="5">
        <v>379000</v>
      </c>
      <c r="G29" s="2" t="s">
        <v>83</v>
      </c>
      <c r="H29" s="2">
        <v>7</v>
      </c>
      <c r="I29" s="2">
        <f>IFERROR(VLOOKUP(B29,'02_Recommendation_Attrs'!$A$2:$W$100,21,FALSE),"")</f>
        <v>0</v>
      </c>
      <c r="J29" s="2" t="str">
        <f>IFERROR(VLOOKUP(B29,'02_Recommendation_Attrs'!$A$2:$W$100,22,FALSE),"")</f>
        <v/>
      </c>
      <c r="K29" s="2" t="s">
        <v>1534</v>
      </c>
      <c r="L29" s="2" t="s">
        <v>1528</v>
      </c>
      <c r="M29" s="2" t="s">
        <v>1529</v>
      </c>
    </row>
    <row r="30" spans="1:13">
      <c r="A30" s="2">
        <v>29</v>
      </c>
      <c r="B30" s="2" t="s">
        <v>335</v>
      </c>
      <c r="C30" s="2" t="s">
        <v>337</v>
      </c>
      <c r="D30" s="2" t="s">
        <v>310</v>
      </c>
      <c r="E30" s="2" t="s">
        <v>507</v>
      </c>
      <c r="F30" s="5">
        <v>299000</v>
      </c>
      <c r="G30" s="2" t="s">
        <v>83</v>
      </c>
      <c r="H30" s="2">
        <v>3</v>
      </c>
      <c r="I30" s="2">
        <f>IFERROR(VLOOKUP(B30,'02_Recommendation_Attrs'!$A$2:$W$100,21,FALSE),"")</f>
        <v>0</v>
      </c>
      <c r="J30" s="2" t="str">
        <f>IFERROR(VLOOKUP(B30,'02_Recommendation_Attrs'!$A$2:$W$100,22,FALSE),"")</f>
        <v/>
      </c>
      <c r="K30" s="2" t="s">
        <v>1527</v>
      </c>
      <c r="L30" s="2" t="s">
        <v>1528</v>
      </c>
      <c r="M30" s="2" t="s">
        <v>1529</v>
      </c>
    </row>
    <row r="31" spans="1:13">
      <c r="A31" s="2">
        <v>30</v>
      </c>
      <c r="B31" s="2" t="s">
        <v>176</v>
      </c>
      <c r="C31" s="2" t="s">
        <v>179</v>
      </c>
      <c r="D31" s="2" t="s">
        <v>140</v>
      </c>
      <c r="E31" s="2" t="s">
        <v>507</v>
      </c>
      <c r="F31" s="5">
        <v>299000</v>
      </c>
      <c r="G31" s="2" t="s">
        <v>83</v>
      </c>
      <c r="H31" s="2">
        <v>0</v>
      </c>
      <c r="I31" s="2">
        <f>IFERROR(VLOOKUP(B31,'02_Recommendation_Attrs'!$A$2:$W$100,21,FALSE),"")</f>
        <v>0</v>
      </c>
      <c r="J31" s="2" t="str">
        <f>IFERROR(VLOOKUP(B31,'02_Recommendation_Attrs'!$A$2:$W$100,22,FALSE),"")</f>
        <v/>
      </c>
      <c r="K31" s="2" t="s">
        <v>1527</v>
      </c>
      <c r="L31" s="2" t="s">
        <v>1528</v>
      </c>
      <c r="M31" s="2" t="s">
        <v>1529</v>
      </c>
    </row>
  </sheetData>
  <phoneticPr fontId="5" type="noConversion"/>
  <conditionalFormatting sqref="I2:I31">
    <cfRule type="dataBar" priority="1">
      <dataBar>
        <cfvo type="min"/>
        <cfvo type="max"/>
        <color rgb="FFC55A11"/>
      </dataBar>
    </cfRule>
    <cfRule type="dataBar" priority="4">
      <dataBar>
        <cfvo type="min"/>
        <cfvo type="max"/>
        <color rgb="FFC55A11"/>
      </dataBar>
      <extLst>
        <ext xmlns:x14="http://schemas.microsoft.com/office/spreadsheetml/2009/9/main" uri="{B025F937-C7B1-47D3-B67F-A62EFF666E3E}">
          <x14:id>{87ED2241-BA97-3876-48A6-24A12956748F}</x14:id>
        </ext>
      </extLst>
    </cfRule>
  </conditionalFormatting>
  <conditionalFormatting sqref="L2:L31">
    <cfRule type="expression" dxfId="6" priority="2">
      <formula>L2="READY_FOR_MVP"</formula>
    </cfRule>
    <cfRule type="expression" dxfId="5" priority="3">
      <formula>L2="RESEARCH_REQUIRED"</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7ED2241-BA97-3876-48A6-24A12956748F}">
            <x14:dataBar>
              <x14:cfvo type="min"/>
              <x14:cfvo type="max"/>
              <x14:negativeFillColor auto="1"/>
              <x14:axisColor auto="1"/>
            </x14:dataBar>
          </x14:cfRule>
          <xm:sqref>I2:I31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9"/>
  <sheetViews>
    <sheetView workbookViewId="0"/>
  </sheetViews>
  <sheetFormatPr defaultRowHeight="14.25"/>
  <cols>
    <col min="1" max="1" width="20" customWidth="1"/>
    <col min="2" max="2" width="42" customWidth="1"/>
    <col min="3" max="3" width="74" customWidth="1"/>
  </cols>
  <sheetData>
    <row r="1" spans="1:3" ht="32.1" customHeight="1">
      <c r="A1" s="4" t="s">
        <v>1536</v>
      </c>
      <c r="B1" s="4" t="s">
        <v>1537</v>
      </c>
      <c r="C1" s="4" t="s">
        <v>1538</v>
      </c>
    </row>
    <row r="2" spans="1:3">
      <c r="A2" s="2" t="s">
        <v>1539</v>
      </c>
      <c r="B2" s="2" t="s">
        <v>1540</v>
      </c>
      <c r="C2" s="2" t="s">
        <v>17</v>
      </c>
    </row>
    <row r="3" spans="1:3">
      <c r="A3" s="2" t="s">
        <v>1539</v>
      </c>
      <c r="B3" s="2" t="s">
        <v>1541</v>
      </c>
      <c r="C3" s="2" t="s">
        <v>1542</v>
      </c>
    </row>
    <row r="4" spans="1:3">
      <c r="A4" s="2" t="s">
        <v>1539</v>
      </c>
      <c r="B4" s="2" t="s">
        <v>1543</v>
      </c>
      <c r="C4" s="2" t="s">
        <v>1544</v>
      </c>
    </row>
    <row r="5" spans="1:3">
      <c r="A5" s="2" t="s">
        <v>1539</v>
      </c>
      <c r="B5" s="2" t="s">
        <v>15</v>
      </c>
      <c r="C5" s="2" t="s">
        <v>1545</v>
      </c>
    </row>
    <row r="6" spans="1:3">
      <c r="A6" s="2" t="s">
        <v>1546</v>
      </c>
      <c r="B6" s="2" t="s">
        <v>485</v>
      </c>
      <c r="C6" s="2" t="s">
        <v>1547</v>
      </c>
    </row>
    <row r="7" spans="1:3">
      <c r="A7" s="2" t="s">
        <v>1546</v>
      </c>
      <c r="B7" s="2" t="s">
        <v>490</v>
      </c>
      <c r="C7" s="2" t="s">
        <v>1548</v>
      </c>
    </row>
    <row r="8" spans="1:3">
      <c r="A8" s="2" t="s">
        <v>1546</v>
      </c>
      <c r="B8" s="2" t="s">
        <v>512</v>
      </c>
      <c r="C8" s="2" t="s">
        <v>1549</v>
      </c>
    </row>
    <row r="9" spans="1:3">
      <c r="A9" s="2" t="s">
        <v>1546</v>
      </c>
      <c r="B9" s="2" t="s">
        <v>498</v>
      </c>
      <c r="C9" s="2" t="s">
        <v>1550</v>
      </c>
    </row>
    <row r="10" spans="1:3">
      <c r="A10" s="2" t="s">
        <v>1546</v>
      </c>
      <c r="B10" s="2" t="s">
        <v>502</v>
      </c>
      <c r="C10" s="2" t="s">
        <v>1551</v>
      </c>
    </row>
    <row r="11" spans="1:3">
      <c r="A11" s="2" t="s">
        <v>1546</v>
      </c>
      <c r="B11" s="2" t="s">
        <v>507</v>
      </c>
      <c r="C11" s="2" t="s">
        <v>1552</v>
      </c>
    </row>
    <row r="12" spans="1:3">
      <c r="A12" s="2" t="s">
        <v>1553</v>
      </c>
      <c r="B12" s="2" t="s">
        <v>1554</v>
      </c>
      <c r="C12" s="2" t="s">
        <v>1555</v>
      </c>
    </row>
    <row r="13" spans="1:3">
      <c r="A13" s="2" t="s">
        <v>1553</v>
      </c>
      <c r="B13" s="2" t="s">
        <v>167</v>
      </c>
      <c r="C13" s="2" t="s">
        <v>635</v>
      </c>
    </row>
    <row r="14" spans="1:3">
      <c r="A14" s="2" t="s">
        <v>1553</v>
      </c>
      <c r="B14" s="2" t="s">
        <v>133</v>
      </c>
      <c r="C14" s="2" t="s">
        <v>588</v>
      </c>
    </row>
    <row r="15" spans="1:3">
      <c r="A15" s="2" t="s">
        <v>1553</v>
      </c>
      <c r="B15" s="2" t="s">
        <v>178</v>
      </c>
      <c r="C15" s="2" t="s">
        <v>597</v>
      </c>
    </row>
    <row r="16" spans="1:3">
      <c r="A16" s="2" t="s">
        <v>1553</v>
      </c>
      <c r="B16" s="2" t="s">
        <v>279</v>
      </c>
      <c r="C16" s="2" t="s">
        <v>748</v>
      </c>
    </row>
    <row r="17" spans="1:3">
      <c r="A17" s="2" t="s">
        <v>1556</v>
      </c>
      <c r="B17" s="2" t="s">
        <v>1557</v>
      </c>
      <c r="C17" s="2" t="s">
        <v>1558</v>
      </c>
    </row>
    <row r="18" spans="1:3">
      <c r="A18" s="2" t="s">
        <v>1559</v>
      </c>
      <c r="B18" s="2" t="s">
        <v>1560</v>
      </c>
      <c r="C18" s="2" t="s">
        <v>1561</v>
      </c>
    </row>
    <row r="19" spans="1:3" ht="28.5">
      <c r="A19" s="2" t="s">
        <v>1562</v>
      </c>
      <c r="B19" s="2" t="s">
        <v>1563</v>
      </c>
      <c r="C19" s="2" t="s">
        <v>1558</v>
      </c>
    </row>
    <row r="20" spans="1:3">
      <c r="A20" s="2" t="s">
        <v>1564</v>
      </c>
      <c r="B20" s="2" t="s">
        <v>1565</v>
      </c>
      <c r="C20" s="2" t="s">
        <v>1558</v>
      </c>
    </row>
    <row r="21" spans="1:3" ht="42.75">
      <c r="A21" s="2" t="s">
        <v>1566</v>
      </c>
      <c r="B21" s="2" t="s">
        <v>1567</v>
      </c>
      <c r="C21" s="2" t="s">
        <v>1568</v>
      </c>
    </row>
    <row r="22" spans="1:3" ht="42.75">
      <c r="A22" s="2" t="s">
        <v>1569</v>
      </c>
      <c r="B22" s="2" t="s">
        <v>1570</v>
      </c>
      <c r="C22" s="2" t="s">
        <v>1571</v>
      </c>
    </row>
    <row r="23" spans="1:3">
      <c r="A23" s="2" t="s">
        <v>1572</v>
      </c>
      <c r="B23" s="2" t="s">
        <v>586</v>
      </c>
      <c r="C23" s="2" t="s">
        <v>1573</v>
      </c>
    </row>
    <row r="24" spans="1:3">
      <c r="A24" s="2" t="s">
        <v>1572</v>
      </c>
      <c r="B24" s="2" t="s">
        <v>888</v>
      </c>
      <c r="C24" s="2" t="s">
        <v>1574</v>
      </c>
    </row>
    <row r="25" spans="1:3" ht="28.5">
      <c r="A25" s="2" t="s">
        <v>1575</v>
      </c>
      <c r="B25" s="2" t="s">
        <v>1576</v>
      </c>
      <c r="C25" s="2" t="s">
        <v>1577</v>
      </c>
    </row>
    <row r="26" spans="1:3">
      <c r="A26" s="2" t="s">
        <v>1575</v>
      </c>
      <c r="B26" s="2" t="s">
        <v>891</v>
      </c>
      <c r="C26" s="2" t="s">
        <v>1578</v>
      </c>
    </row>
    <row r="27" spans="1:3">
      <c r="A27" s="2" t="s">
        <v>1575</v>
      </c>
      <c r="B27" s="2" t="s">
        <v>589</v>
      </c>
      <c r="C27" s="2" t="s">
        <v>1579</v>
      </c>
    </row>
    <row r="28" spans="1:3">
      <c r="A28" s="2" t="s">
        <v>1580</v>
      </c>
      <c r="B28" s="2" t="s">
        <v>105</v>
      </c>
      <c r="C28" s="2" t="s">
        <v>1581</v>
      </c>
    </row>
    <row r="29" spans="1:3">
      <c r="A29" s="2" t="s">
        <v>1580</v>
      </c>
      <c r="B29" s="2" t="s">
        <v>88</v>
      </c>
      <c r="C29" s="2" t="s">
        <v>1582</v>
      </c>
    </row>
    <row r="30" spans="1:3">
      <c r="A30" s="2" t="s">
        <v>1580</v>
      </c>
      <c r="B30" s="2" t="s">
        <v>1583</v>
      </c>
      <c r="C30" s="2" t="s">
        <v>1584</v>
      </c>
    </row>
    <row r="31" spans="1:3">
      <c r="A31" s="2" t="s">
        <v>1580</v>
      </c>
      <c r="B31" s="2" t="s">
        <v>1585</v>
      </c>
      <c r="C31" s="2" t="s">
        <v>1586</v>
      </c>
    </row>
    <row r="33" spans="1:3">
      <c r="A33" s="2" t="s">
        <v>1587</v>
      </c>
      <c r="B33" s="2" t="s">
        <v>1588</v>
      </c>
      <c r="C33" s="2" t="s">
        <v>1589</v>
      </c>
    </row>
    <row r="34" spans="1:3">
      <c r="A34" s="2" t="s">
        <v>1587</v>
      </c>
      <c r="B34" s="2" t="s">
        <v>1590</v>
      </c>
      <c r="C34" s="2" t="s">
        <v>1591</v>
      </c>
    </row>
    <row r="35" spans="1:3">
      <c r="A35" s="2" t="s">
        <v>1587</v>
      </c>
      <c r="B35" s="2" t="s">
        <v>1592</v>
      </c>
      <c r="C35" s="2" t="s">
        <v>1593</v>
      </c>
    </row>
    <row r="36" spans="1:3">
      <c r="A36" s="2" t="s">
        <v>1594</v>
      </c>
      <c r="B36" s="2" t="s">
        <v>42</v>
      </c>
      <c r="C36" s="2" t="s">
        <v>1595</v>
      </c>
    </row>
    <row r="37" spans="1:3">
      <c r="A37" s="2" t="s">
        <v>1596</v>
      </c>
      <c r="B37" s="2" t="s">
        <v>597</v>
      </c>
      <c r="C37" s="2" t="s">
        <v>1597</v>
      </c>
    </row>
    <row r="38" spans="1:3">
      <c r="A38" s="2" t="s">
        <v>1596</v>
      </c>
      <c r="B38" s="2" t="s">
        <v>588</v>
      </c>
      <c r="C38" s="2" t="s">
        <v>1598</v>
      </c>
    </row>
    <row r="39" spans="1:3">
      <c r="A39" s="2" t="s">
        <v>1596</v>
      </c>
      <c r="B39" s="2" t="s">
        <v>635</v>
      </c>
      <c r="C39" s="2" t="s">
        <v>1599</v>
      </c>
    </row>
  </sheetData>
  <phoneticPr fontId="5"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31"/>
  <sheetViews>
    <sheetView workbookViewId="0"/>
  </sheetViews>
  <sheetFormatPr defaultRowHeight="14.25"/>
  <cols>
    <col min="1" max="1" width="28" customWidth="1"/>
    <col min="2" max="2" width="34" customWidth="1"/>
    <col min="3" max="4" width="20" customWidth="1"/>
    <col min="5" max="17" width="14" customWidth="1"/>
    <col min="18" max="19" width="13" customWidth="1"/>
    <col min="20" max="24" width="16" customWidth="1"/>
    <col min="25" max="25" width="12" customWidth="1"/>
    <col min="26" max="26" width="48" customWidth="1"/>
    <col min="27" max="27" width="55" customWidth="1"/>
    <col min="28" max="29" width="24" customWidth="1"/>
  </cols>
  <sheetData>
    <row r="1" spans="1:29" ht="30" customHeight="1">
      <c r="A1" s="6" t="s">
        <v>51</v>
      </c>
      <c r="B1" s="6" t="s">
        <v>57</v>
      </c>
      <c r="C1" s="6" t="s">
        <v>1600</v>
      </c>
      <c r="D1" s="6" t="s">
        <v>1601</v>
      </c>
      <c r="E1" s="6" t="s">
        <v>1602</v>
      </c>
      <c r="F1" s="6" t="s">
        <v>1603</v>
      </c>
      <c r="G1" s="6" t="s">
        <v>1604</v>
      </c>
      <c r="H1" s="6" t="s">
        <v>1605</v>
      </c>
      <c r="I1" s="6" t="s">
        <v>1606</v>
      </c>
      <c r="J1" s="6" t="s">
        <v>1607</v>
      </c>
      <c r="K1" s="6" t="s">
        <v>1608</v>
      </c>
      <c r="L1" s="6" t="s">
        <v>1609</v>
      </c>
      <c r="M1" s="6" t="s">
        <v>1610</v>
      </c>
      <c r="N1" s="6" t="s">
        <v>1611</v>
      </c>
      <c r="O1" s="6" t="s">
        <v>1612</v>
      </c>
      <c r="P1" s="6" t="s">
        <v>1613</v>
      </c>
      <c r="Q1" s="6" t="s">
        <v>1614</v>
      </c>
      <c r="R1" s="6" t="s">
        <v>1615</v>
      </c>
      <c r="S1" s="6" t="s">
        <v>1616</v>
      </c>
      <c r="T1" s="6" t="s">
        <v>472</v>
      </c>
      <c r="U1" s="6" t="s">
        <v>473</v>
      </c>
      <c r="V1" s="6" t="s">
        <v>474</v>
      </c>
      <c r="W1" s="6" t="s">
        <v>475</v>
      </c>
      <c r="X1" s="6" t="s">
        <v>476</v>
      </c>
      <c r="Y1" s="6" t="s">
        <v>580</v>
      </c>
      <c r="Z1" s="6" t="s">
        <v>578</v>
      </c>
      <c r="AA1" s="6" t="s">
        <v>582</v>
      </c>
      <c r="AB1" s="6" t="s">
        <v>1617</v>
      </c>
      <c r="AC1" s="6" t="s">
        <v>484</v>
      </c>
    </row>
    <row r="2" spans="1:29" ht="30" customHeight="1">
      <c r="A2" s="2" t="s">
        <v>277</v>
      </c>
      <c r="B2" s="2" t="s">
        <v>280</v>
      </c>
      <c r="C2" s="2" t="s">
        <v>1588</v>
      </c>
      <c r="D2" s="2" t="s">
        <v>595</v>
      </c>
      <c r="E2" s="2">
        <v>8.1</v>
      </c>
      <c r="F2" s="2">
        <v>7.5</v>
      </c>
      <c r="G2" s="2">
        <v>6.6</v>
      </c>
      <c r="H2" s="2"/>
      <c r="I2" s="2"/>
      <c r="J2" s="2"/>
      <c r="K2" s="2"/>
      <c r="L2" s="2"/>
      <c r="M2" s="2"/>
      <c r="N2" s="2"/>
      <c r="O2" s="2">
        <f t="shared" ref="O2:O31" si="0">IF(E2&lt;&gt;"",IF(E2&lt;=2,1,IF(E2&lt;=4,2,IF(E2&lt;=6,3,IF(E2&lt;=8,4,5)))),IF(L2="VERY_LOW",1,IF(L2="LOW",2,IF(L2="MEDIUM",3,IF(L2="HIGH",4,IF(L2="VERY_HIGH",5,""))))))</f>
        <v>5</v>
      </c>
      <c r="P2" s="2">
        <f t="shared" ref="P2:P31" si="1">IF(F2&lt;&gt;"",IF(F2&lt;=2,1,IF(F2&lt;=4,2,IF(F2&lt;=6,3,IF(F2&lt;=8,4,5)))),IF(M2="VERY_LOW",1,IF(M2="LOW",2,IF(M2="MEDIUM",3,IF(M2="HIGH",4,IF(M2="VERY_HIGH",5,""))))))</f>
        <v>4</v>
      </c>
      <c r="Q2" s="2">
        <f t="shared" ref="Q2:Q31" si="2">IF(G2&lt;&gt;"",IF(G2&lt;=2,1,IF(G2&lt;=4,2,IF(G2&lt;=6,3,IF(G2&lt;=8,4,5)))),IF(AND(H2&lt;&gt;"",I2&lt;&gt;"",J2&lt;&gt;""),IF(AVERAGE(H2:J2)&lt;=2,1,IF(AVERAGE(H2:J2)&lt;=4,2,IF(AVERAGE(H2:J2)&lt;=6,3,IF(AVERAGE(H2:J2)&lt;=8,4,5)))),IF(K2&lt;&gt;"",IF(K2&lt;=2,1,IF(K2&lt;=4,2,IF(K2&lt;=6,3,IF(K2&lt;=8,4,5)))),IF(N2="VERY_LOW",1,IF(N2="LOW",2,IF(N2="MEDIUM",3,IF(N2="HIGH",4,IF(N2="VERY_HIGH",5,""))))))))</f>
        <v>4</v>
      </c>
      <c r="R2" s="2">
        <v>248.2</v>
      </c>
      <c r="S2" s="2">
        <v>8.1999999999999993</v>
      </c>
      <c r="T2" s="2" t="s">
        <v>542</v>
      </c>
      <c r="U2" s="2" t="s">
        <v>1618</v>
      </c>
      <c r="V2" s="2" t="s">
        <v>555</v>
      </c>
      <c r="W2" s="2" t="s">
        <v>567</v>
      </c>
      <c r="X2" s="2" t="s">
        <v>567</v>
      </c>
      <c r="Y2" s="2" t="s">
        <v>597</v>
      </c>
      <c r="Z2" s="2" t="s">
        <v>596</v>
      </c>
      <c r="AA2" s="2" t="s">
        <v>1619</v>
      </c>
      <c r="AB2" s="2" t="s">
        <v>42</v>
      </c>
      <c r="AC2" s="2" t="b">
        <f t="shared" ref="AC2:AC31" si="3">AND(O2&lt;&gt;"",P2&lt;&gt;"",Q2&lt;&gt;"",R2&lt;&gt;"",S2&lt;&gt;"",T2&lt;&gt;"",U2&lt;&gt;"",V2&lt;&gt;"",W2&lt;&gt;"",X2&lt;&gt;"")</f>
        <v>1</v>
      </c>
    </row>
    <row r="3" spans="1:29" ht="30" customHeight="1">
      <c r="A3" s="2" t="s">
        <v>410</v>
      </c>
      <c r="B3" s="2" t="s">
        <v>412</v>
      </c>
      <c r="C3" s="2" t="s">
        <v>1588</v>
      </c>
      <c r="D3" s="2" t="s">
        <v>613</v>
      </c>
      <c r="E3" s="2">
        <v>6.6</v>
      </c>
      <c r="F3" s="2">
        <v>7.6</v>
      </c>
      <c r="G3" s="2"/>
      <c r="H3" s="2"/>
      <c r="I3" s="2"/>
      <c r="J3" s="2"/>
      <c r="K3" s="2">
        <v>1.4</v>
      </c>
      <c r="L3" s="2"/>
      <c r="M3" s="2"/>
      <c r="N3" s="2"/>
      <c r="O3" s="2">
        <f t="shared" si="0"/>
        <v>4</v>
      </c>
      <c r="P3" s="2">
        <f t="shared" si="1"/>
        <v>4</v>
      </c>
      <c r="Q3" s="2">
        <f t="shared" si="2"/>
        <v>1</v>
      </c>
      <c r="R3" s="2">
        <v>252.9</v>
      </c>
      <c r="S3" s="2">
        <v>8.6</v>
      </c>
      <c r="T3" s="2" t="s">
        <v>542</v>
      </c>
      <c r="U3" s="2" t="s">
        <v>1618</v>
      </c>
      <c r="V3" s="2" t="s">
        <v>621</v>
      </c>
      <c r="W3" s="2" t="s">
        <v>567</v>
      </c>
      <c r="X3" s="2" t="s">
        <v>567</v>
      </c>
      <c r="Y3" s="2" t="s">
        <v>588</v>
      </c>
      <c r="Z3" s="2" t="s">
        <v>614</v>
      </c>
      <c r="AA3" s="2" t="s">
        <v>1620</v>
      </c>
      <c r="AB3" s="2" t="s">
        <v>42</v>
      </c>
      <c r="AC3" s="2" t="b">
        <f t="shared" si="3"/>
        <v>1</v>
      </c>
    </row>
    <row r="4" spans="1:29" ht="30" customHeight="1">
      <c r="A4" s="2" t="s">
        <v>309</v>
      </c>
      <c r="B4" s="2" t="s">
        <v>314</v>
      </c>
      <c r="C4" s="2" t="s">
        <v>1588</v>
      </c>
      <c r="D4" s="2" t="s">
        <v>595</v>
      </c>
      <c r="E4" s="2">
        <v>7.7</v>
      </c>
      <c r="F4" s="2">
        <v>8</v>
      </c>
      <c r="G4" s="2">
        <v>7.2</v>
      </c>
      <c r="H4" s="2"/>
      <c r="I4" s="2"/>
      <c r="J4" s="2"/>
      <c r="K4" s="2"/>
      <c r="L4" s="2"/>
      <c r="M4" s="2"/>
      <c r="N4" s="2"/>
      <c r="O4" s="2">
        <f t="shared" si="0"/>
        <v>4</v>
      </c>
      <c r="P4" s="2">
        <f t="shared" si="1"/>
        <v>4</v>
      </c>
      <c r="Q4" s="2">
        <f t="shared" si="2"/>
        <v>4</v>
      </c>
      <c r="R4" s="2">
        <v>257.60000000000002</v>
      </c>
      <c r="S4" s="2">
        <v>9.8000000000000007</v>
      </c>
      <c r="T4" s="2" t="s">
        <v>542</v>
      </c>
      <c r="U4" s="2" t="s">
        <v>513</v>
      </c>
      <c r="V4" s="2" t="s">
        <v>555</v>
      </c>
      <c r="W4" s="2" t="s">
        <v>567</v>
      </c>
      <c r="X4" s="2" t="s">
        <v>567</v>
      </c>
      <c r="Y4" s="2" t="s">
        <v>597</v>
      </c>
      <c r="Z4" s="2" t="s">
        <v>624</v>
      </c>
      <c r="AA4" s="2" t="s">
        <v>1621</v>
      </c>
      <c r="AB4" s="2" t="s">
        <v>42</v>
      </c>
      <c r="AC4" s="2" t="b">
        <f t="shared" si="3"/>
        <v>1</v>
      </c>
    </row>
    <row r="5" spans="1:29" ht="30" customHeight="1">
      <c r="A5" s="2" t="s">
        <v>180</v>
      </c>
      <c r="B5" s="2" t="s">
        <v>49</v>
      </c>
      <c r="C5" s="2" t="s">
        <v>1592</v>
      </c>
      <c r="D5" s="2" t="s">
        <v>633</v>
      </c>
      <c r="E5" s="2"/>
      <c r="F5" s="2"/>
      <c r="G5" s="2"/>
      <c r="H5" s="2"/>
      <c r="I5" s="2"/>
      <c r="J5" s="2"/>
      <c r="K5" s="2"/>
      <c r="L5" s="2"/>
      <c r="M5" s="2"/>
      <c r="N5" s="2"/>
      <c r="O5" s="2" t="str">
        <f t="shared" si="0"/>
        <v/>
      </c>
      <c r="P5" s="2" t="str">
        <f t="shared" si="1"/>
        <v/>
      </c>
      <c r="Q5" s="2" t="str">
        <f t="shared" si="2"/>
        <v/>
      </c>
      <c r="R5" s="2">
        <v>291</v>
      </c>
      <c r="S5" s="2">
        <v>9</v>
      </c>
      <c r="T5" s="2" t="s">
        <v>542</v>
      </c>
      <c r="U5" s="2" t="s">
        <v>1618</v>
      </c>
      <c r="V5" s="2" t="s">
        <v>555</v>
      </c>
      <c r="W5" s="2" t="s">
        <v>520</v>
      </c>
      <c r="X5" s="2" t="s">
        <v>567</v>
      </c>
      <c r="Y5" s="2" t="s">
        <v>635</v>
      </c>
      <c r="Z5" s="2" t="s">
        <v>634</v>
      </c>
      <c r="AA5" s="2" t="s">
        <v>1622</v>
      </c>
      <c r="AB5" s="2" t="s">
        <v>42</v>
      </c>
      <c r="AC5" s="2" t="b">
        <f t="shared" si="3"/>
        <v>0</v>
      </c>
    </row>
    <row r="6" spans="1:29" ht="30" customHeight="1">
      <c r="A6" s="2" t="s">
        <v>153</v>
      </c>
      <c r="B6" s="2" t="s">
        <v>156</v>
      </c>
      <c r="C6" s="2" t="s">
        <v>1588</v>
      </c>
      <c r="D6" s="2" t="s">
        <v>595</v>
      </c>
      <c r="E6" s="2">
        <v>6.8</v>
      </c>
      <c r="F6" s="2">
        <v>8.6</v>
      </c>
      <c r="G6" s="2">
        <v>6.3</v>
      </c>
      <c r="H6" s="2"/>
      <c r="I6" s="2"/>
      <c r="J6" s="2"/>
      <c r="K6" s="2"/>
      <c r="L6" s="2"/>
      <c r="M6" s="2"/>
      <c r="N6" s="2"/>
      <c r="O6" s="2">
        <f t="shared" si="0"/>
        <v>4</v>
      </c>
      <c r="P6" s="2">
        <f t="shared" si="1"/>
        <v>5</v>
      </c>
      <c r="Q6" s="2">
        <f t="shared" si="2"/>
        <v>4</v>
      </c>
      <c r="R6" s="2">
        <v>265.89999999999998</v>
      </c>
      <c r="S6" s="2">
        <v>9.6</v>
      </c>
      <c r="T6" s="2" t="s">
        <v>542</v>
      </c>
      <c r="U6" s="2" t="s">
        <v>513</v>
      </c>
      <c r="V6" s="2" t="s">
        <v>555</v>
      </c>
      <c r="W6" s="2" t="s">
        <v>567</v>
      </c>
      <c r="X6" s="2" t="s">
        <v>567</v>
      </c>
      <c r="Y6" s="2" t="s">
        <v>597</v>
      </c>
      <c r="Z6" s="2" t="s">
        <v>644</v>
      </c>
      <c r="AA6" s="2" t="s">
        <v>1623</v>
      </c>
      <c r="AB6" s="2" t="s">
        <v>42</v>
      </c>
      <c r="AC6" s="2" t="b">
        <f t="shared" si="3"/>
        <v>1</v>
      </c>
    </row>
    <row r="7" spans="1:29" ht="30" customHeight="1">
      <c r="A7" s="2" t="s">
        <v>272</v>
      </c>
      <c r="B7" s="2" t="s">
        <v>275</v>
      </c>
      <c r="C7" s="2" t="s">
        <v>1588</v>
      </c>
      <c r="D7" s="2" t="s">
        <v>595</v>
      </c>
      <c r="E7" s="2">
        <v>8.6</v>
      </c>
      <c r="F7" s="2">
        <v>8.3000000000000007</v>
      </c>
      <c r="G7" s="2">
        <v>5.3</v>
      </c>
      <c r="H7" s="2"/>
      <c r="I7" s="2"/>
      <c r="J7" s="2"/>
      <c r="K7" s="2"/>
      <c r="L7" s="2"/>
      <c r="M7" s="2"/>
      <c r="N7" s="2"/>
      <c r="O7" s="2">
        <f t="shared" si="0"/>
        <v>5</v>
      </c>
      <c r="P7" s="2">
        <f t="shared" si="1"/>
        <v>5</v>
      </c>
      <c r="Q7" s="2">
        <f t="shared" si="2"/>
        <v>3</v>
      </c>
      <c r="R7" s="2">
        <v>272.89999999999998</v>
      </c>
      <c r="S7" s="2">
        <v>6.4</v>
      </c>
      <c r="T7" s="2" t="s">
        <v>542</v>
      </c>
      <c r="U7" s="2" t="s">
        <v>513</v>
      </c>
      <c r="V7" s="2" t="s">
        <v>555</v>
      </c>
      <c r="W7" s="2" t="s">
        <v>567</v>
      </c>
      <c r="X7" s="2" t="s">
        <v>490</v>
      </c>
      <c r="Y7" s="2" t="s">
        <v>597</v>
      </c>
      <c r="Z7" s="2" t="s">
        <v>653</v>
      </c>
      <c r="AA7" s="2" t="s">
        <v>1624</v>
      </c>
      <c r="AB7" s="2" t="s">
        <v>42</v>
      </c>
      <c r="AC7" s="2" t="b">
        <f t="shared" si="3"/>
        <v>1</v>
      </c>
    </row>
    <row r="8" spans="1:29" ht="30" customHeight="1">
      <c r="A8" s="2" t="s">
        <v>341</v>
      </c>
      <c r="B8" s="2" t="s">
        <v>346</v>
      </c>
      <c r="C8" s="2" t="s">
        <v>1588</v>
      </c>
      <c r="D8" s="2" t="s">
        <v>613</v>
      </c>
      <c r="E8" s="2">
        <v>6.4</v>
      </c>
      <c r="F8" s="2">
        <v>8</v>
      </c>
      <c r="G8" s="2"/>
      <c r="H8" s="2"/>
      <c r="I8" s="2"/>
      <c r="J8" s="2"/>
      <c r="K8" s="2">
        <v>3.6</v>
      </c>
      <c r="L8" s="2"/>
      <c r="M8" s="2"/>
      <c r="N8" s="2"/>
      <c r="O8" s="2">
        <f t="shared" si="0"/>
        <v>4</v>
      </c>
      <c r="P8" s="2">
        <f t="shared" si="1"/>
        <v>4</v>
      </c>
      <c r="Q8" s="2">
        <f t="shared" si="2"/>
        <v>2</v>
      </c>
      <c r="R8" s="2">
        <v>262.10000000000002</v>
      </c>
      <c r="S8" s="2">
        <v>8.4</v>
      </c>
      <c r="T8" s="2" t="s">
        <v>496</v>
      </c>
      <c r="U8" s="2" t="s">
        <v>513</v>
      </c>
      <c r="V8" s="2" t="s">
        <v>555</v>
      </c>
      <c r="W8" s="2" t="s">
        <v>567</v>
      </c>
      <c r="X8" s="2" t="s">
        <v>567</v>
      </c>
      <c r="Y8" s="2" t="s">
        <v>588</v>
      </c>
      <c r="Z8" s="2" t="s">
        <v>662</v>
      </c>
      <c r="AA8" s="2" t="s">
        <v>1625</v>
      </c>
      <c r="AB8" s="2" t="s">
        <v>42</v>
      </c>
      <c r="AC8" s="2" t="b">
        <f t="shared" si="3"/>
        <v>1</v>
      </c>
    </row>
    <row r="9" spans="1:29" ht="30" customHeight="1">
      <c r="A9" s="2" t="s">
        <v>190</v>
      </c>
      <c r="B9" s="2" t="s">
        <v>196</v>
      </c>
      <c r="C9" s="2" t="s">
        <v>1588</v>
      </c>
      <c r="D9" s="2" t="s">
        <v>595</v>
      </c>
      <c r="E9" s="2">
        <v>8</v>
      </c>
      <c r="F9" s="2">
        <v>7.6</v>
      </c>
      <c r="G9" s="2">
        <v>6.5</v>
      </c>
      <c r="H9" s="2"/>
      <c r="I9" s="2"/>
      <c r="J9" s="2"/>
      <c r="K9" s="2"/>
      <c r="L9" s="2"/>
      <c r="M9" s="2"/>
      <c r="N9" s="2"/>
      <c r="O9" s="2">
        <f t="shared" si="0"/>
        <v>4</v>
      </c>
      <c r="P9" s="2">
        <f t="shared" si="1"/>
        <v>4</v>
      </c>
      <c r="Q9" s="2">
        <f t="shared" si="2"/>
        <v>4</v>
      </c>
      <c r="R9" s="2">
        <v>250.3</v>
      </c>
      <c r="S9" s="2">
        <v>7.8</v>
      </c>
      <c r="T9" s="2" t="s">
        <v>542</v>
      </c>
      <c r="U9" s="2" t="s">
        <v>513</v>
      </c>
      <c r="V9" s="2" t="s">
        <v>555</v>
      </c>
      <c r="W9" s="2" t="s">
        <v>567</v>
      </c>
      <c r="X9" s="2" t="s">
        <v>490</v>
      </c>
      <c r="Y9" s="2" t="s">
        <v>597</v>
      </c>
      <c r="Z9" s="2" t="s">
        <v>671</v>
      </c>
      <c r="AA9" s="2" t="s">
        <v>1626</v>
      </c>
      <c r="AB9" s="2" t="s">
        <v>42</v>
      </c>
      <c r="AC9" s="2" t="b">
        <f t="shared" si="3"/>
        <v>1</v>
      </c>
    </row>
    <row r="10" spans="1:29" ht="30" customHeight="1">
      <c r="A10" s="2" t="s">
        <v>200</v>
      </c>
      <c r="B10" s="2" t="s">
        <v>203</v>
      </c>
      <c r="C10" s="2" t="s">
        <v>1588</v>
      </c>
      <c r="D10" s="2" t="s">
        <v>595</v>
      </c>
      <c r="E10" s="2">
        <v>7.1</v>
      </c>
      <c r="F10" s="2">
        <v>8.4</v>
      </c>
      <c r="G10" s="2">
        <v>6.7</v>
      </c>
      <c r="H10" s="2"/>
      <c r="I10" s="2"/>
      <c r="J10" s="2"/>
      <c r="K10" s="2"/>
      <c r="L10" s="2"/>
      <c r="M10" s="2"/>
      <c r="N10" s="2"/>
      <c r="O10" s="2">
        <f t="shared" si="0"/>
        <v>4</v>
      </c>
      <c r="P10" s="2">
        <f t="shared" si="1"/>
        <v>5</v>
      </c>
      <c r="Q10" s="2">
        <f t="shared" si="2"/>
        <v>4</v>
      </c>
      <c r="R10" s="2">
        <v>286.60000000000002</v>
      </c>
      <c r="S10" s="2">
        <v>7.3</v>
      </c>
      <c r="T10" s="2" t="s">
        <v>542</v>
      </c>
      <c r="U10" s="2" t="s">
        <v>1618</v>
      </c>
      <c r="V10" s="2" t="s">
        <v>555</v>
      </c>
      <c r="W10" s="2" t="s">
        <v>567</v>
      </c>
      <c r="X10" s="2" t="s">
        <v>567</v>
      </c>
      <c r="Y10" s="2" t="s">
        <v>597</v>
      </c>
      <c r="Z10" s="2" t="s">
        <v>680</v>
      </c>
      <c r="AA10" s="2" t="s">
        <v>1627</v>
      </c>
      <c r="AB10" s="2" t="s">
        <v>42</v>
      </c>
      <c r="AC10" s="2" t="b">
        <f t="shared" si="3"/>
        <v>1</v>
      </c>
    </row>
    <row r="11" spans="1:29" ht="30" customHeight="1">
      <c r="A11" s="2" t="s">
        <v>93</v>
      </c>
      <c r="B11" s="2" t="s">
        <v>96</v>
      </c>
      <c r="C11" s="2" t="s">
        <v>1588</v>
      </c>
      <c r="D11" s="2" t="s">
        <v>595</v>
      </c>
      <c r="E11" s="2">
        <v>7.7</v>
      </c>
      <c r="F11" s="2">
        <v>8.1</v>
      </c>
      <c r="G11" s="2">
        <v>5.7</v>
      </c>
      <c r="H11" s="2"/>
      <c r="I11" s="2"/>
      <c r="J11" s="2"/>
      <c r="K11" s="2"/>
      <c r="L11" s="2"/>
      <c r="M11" s="2"/>
      <c r="N11" s="2"/>
      <c r="O11" s="2">
        <f t="shared" si="0"/>
        <v>4</v>
      </c>
      <c r="P11" s="2">
        <f t="shared" si="1"/>
        <v>5</v>
      </c>
      <c r="Q11" s="2">
        <f t="shared" si="2"/>
        <v>3</v>
      </c>
      <c r="R11" s="2">
        <v>297.5</v>
      </c>
      <c r="S11" s="2">
        <v>10.3</v>
      </c>
      <c r="T11" s="2" t="s">
        <v>542</v>
      </c>
      <c r="U11" s="2" t="s">
        <v>513</v>
      </c>
      <c r="V11" s="2" t="s">
        <v>555</v>
      </c>
      <c r="W11" s="2" t="s">
        <v>567</v>
      </c>
      <c r="X11" s="2" t="s">
        <v>490</v>
      </c>
      <c r="Y11" s="2" t="s">
        <v>597</v>
      </c>
      <c r="Z11" s="2" t="s">
        <v>689</v>
      </c>
      <c r="AA11" s="2" t="s">
        <v>1628</v>
      </c>
      <c r="AB11" s="2" t="s">
        <v>42</v>
      </c>
      <c r="AC11" s="2" t="b">
        <f t="shared" si="3"/>
        <v>1</v>
      </c>
    </row>
    <row r="12" spans="1:29" ht="30" customHeight="1">
      <c r="A12" s="2" t="s">
        <v>371</v>
      </c>
      <c r="B12" s="2" t="s">
        <v>375</v>
      </c>
      <c r="C12" s="2" t="s">
        <v>1588</v>
      </c>
      <c r="D12" s="2" t="s">
        <v>613</v>
      </c>
      <c r="E12" s="2">
        <v>6.7</v>
      </c>
      <c r="F12" s="2">
        <v>7.6</v>
      </c>
      <c r="G12" s="2"/>
      <c r="H12" s="2"/>
      <c r="I12" s="2"/>
      <c r="J12" s="2"/>
      <c r="K12" s="2">
        <v>7.6</v>
      </c>
      <c r="L12" s="2"/>
      <c r="M12" s="2"/>
      <c r="N12" s="2"/>
      <c r="O12" s="2">
        <f t="shared" si="0"/>
        <v>4</v>
      </c>
      <c r="P12" s="2">
        <f t="shared" si="1"/>
        <v>4</v>
      </c>
      <c r="Q12" s="2">
        <f t="shared" si="2"/>
        <v>4</v>
      </c>
      <c r="R12" s="2">
        <v>232.3</v>
      </c>
      <c r="S12" s="2">
        <v>10.1</v>
      </c>
      <c r="T12" s="2" t="s">
        <v>542</v>
      </c>
      <c r="U12" s="2" t="s">
        <v>513</v>
      </c>
      <c r="V12" s="2" t="s">
        <v>621</v>
      </c>
      <c r="W12" s="2" t="s">
        <v>567</v>
      </c>
      <c r="X12" s="2" t="s">
        <v>567</v>
      </c>
      <c r="Y12" s="2" t="s">
        <v>588</v>
      </c>
      <c r="Z12" s="2" t="s">
        <v>698</v>
      </c>
      <c r="AA12" s="2" t="s">
        <v>1629</v>
      </c>
      <c r="AB12" s="2" t="s">
        <v>42</v>
      </c>
      <c r="AC12" s="2" t="b">
        <f t="shared" si="3"/>
        <v>1</v>
      </c>
    </row>
    <row r="13" spans="1:29" ht="30" customHeight="1">
      <c r="A13" s="2" t="s">
        <v>318</v>
      </c>
      <c r="B13" s="2" t="s">
        <v>321</v>
      </c>
      <c r="C13" s="2" t="s">
        <v>1588</v>
      </c>
      <c r="D13" s="2" t="s">
        <v>707</v>
      </c>
      <c r="E13" s="2">
        <v>7.8</v>
      </c>
      <c r="F13" s="2">
        <v>8</v>
      </c>
      <c r="G13" s="2"/>
      <c r="H13" s="2">
        <v>6.9</v>
      </c>
      <c r="I13" s="2">
        <v>7.2</v>
      </c>
      <c r="J13" s="2">
        <v>7.2</v>
      </c>
      <c r="K13" s="2"/>
      <c r="L13" s="2"/>
      <c r="M13" s="2"/>
      <c r="N13" s="2"/>
      <c r="O13" s="2">
        <f t="shared" si="0"/>
        <v>4</v>
      </c>
      <c r="P13" s="2">
        <f t="shared" si="1"/>
        <v>4</v>
      </c>
      <c r="Q13" s="2">
        <f t="shared" si="2"/>
        <v>4</v>
      </c>
      <c r="R13" s="2">
        <v>264.8</v>
      </c>
      <c r="S13" s="2">
        <v>9.6</v>
      </c>
      <c r="T13" s="2" t="s">
        <v>542</v>
      </c>
      <c r="U13" s="2" t="s">
        <v>1618</v>
      </c>
      <c r="V13" s="2" t="s">
        <v>555</v>
      </c>
      <c r="W13" s="2" t="s">
        <v>567</v>
      </c>
      <c r="X13" s="2" t="s">
        <v>490</v>
      </c>
      <c r="Y13" s="2" t="s">
        <v>588</v>
      </c>
      <c r="Z13" s="2" t="s">
        <v>708</v>
      </c>
      <c r="AA13" s="2" t="s">
        <v>1630</v>
      </c>
      <c r="AB13" s="2" t="s">
        <v>42</v>
      </c>
      <c r="AC13" s="2" t="b">
        <f t="shared" si="3"/>
        <v>1</v>
      </c>
    </row>
    <row r="14" spans="1:29" ht="30" customHeight="1">
      <c r="A14" s="2" t="s">
        <v>259</v>
      </c>
      <c r="B14" s="2" t="s">
        <v>264</v>
      </c>
      <c r="C14" s="2" t="s">
        <v>1588</v>
      </c>
      <c r="D14" s="2" t="s">
        <v>595</v>
      </c>
      <c r="E14" s="2">
        <v>7.7</v>
      </c>
      <c r="F14" s="2">
        <v>8.4</v>
      </c>
      <c r="G14" s="2">
        <v>5.7</v>
      </c>
      <c r="H14" s="2"/>
      <c r="I14" s="2"/>
      <c r="J14" s="2"/>
      <c r="K14" s="2"/>
      <c r="L14" s="2"/>
      <c r="M14" s="2"/>
      <c r="N14" s="2"/>
      <c r="O14" s="2">
        <f t="shared" si="0"/>
        <v>4</v>
      </c>
      <c r="P14" s="2">
        <f t="shared" si="1"/>
        <v>5</v>
      </c>
      <c r="Q14" s="2">
        <f t="shared" si="2"/>
        <v>3</v>
      </c>
      <c r="R14" s="2">
        <v>295.89999999999998</v>
      </c>
      <c r="S14" s="2">
        <v>11.1</v>
      </c>
      <c r="T14" s="2" t="s">
        <v>542</v>
      </c>
      <c r="U14" s="2" t="s">
        <v>1618</v>
      </c>
      <c r="V14" s="2" t="s">
        <v>555</v>
      </c>
      <c r="W14" s="2" t="s">
        <v>567</v>
      </c>
      <c r="X14" s="2" t="s">
        <v>567</v>
      </c>
      <c r="Y14" s="2" t="s">
        <v>597</v>
      </c>
      <c r="Z14" s="2" t="s">
        <v>718</v>
      </c>
      <c r="AA14" s="2" t="s">
        <v>1631</v>
      </c>
      <c r="AB14" s="2" t="s">
        <v>42</v>
      </c>
      <c r="AC14" s="2" t="b">
        <f t="shared" si="3"/>
        <v>1</v>
      </c>
    </row>
    <row r="15" spans="1:29" ht="30" customHeight="1">
      <c r="A15" s="2" t="s">
        <v>349</v>
      </c>
      <c r="B15" s="2" t="s">
        <v>352</v>
      </c>
      <c r="C15" s="2" t="s">
        <v>1590</v>
      </c>
      <c r="D15" s="2" t="s">
        <v>727</v>
      </c>
      <c r="E15" s="2"/>
      <c r="F15" s="2"/>
      <c r="G15" s="2"/>
      <c r="H15" s="2"/>
      <c r="I15" s="2"/>
      <c r="J15" s="2"/>
      <c r="K15" s="2"/>
      <c r="L15" s="2" t="s">
        <v>588</v>
      </c>
      <c r="M15" s="2" t="s">
        <v>597</v>
      </c>
      <c r="N15" s="2" t="s">
        <v>635</v>
      </c>
      <c r="O15" s="2">
        <f t="shared" si="0"/>
        <v>3</v>
      </c>
      <c r="P15" s="2">
        <f t="shared" si="1"/>
        <v>4</v>
      </c>
      <c r="Q15" s="2">
        <f t="shared" si="2"/>
        <v>2</v>
      </c>
      <c r="R15" s="2">
        <v>280</v>
      </c>
      <c r="S15" s="2">
        <v>7.6</v>
      </c>
      <c r="T15" s="2" t="s">
        <v>496</v>
      </c>
      <c r="U15" s="2" t="s">
        <v>1618</v>
      </c>
      <c r="V15" s="2" t="s">
        <v>555</v>
      </c>
      <c r="W15" s="2" t="s">
        <v>567</v>
      </c>
      <c r="X15" s="2" t="s">
        <v>567</v>
      </c>
      <c r="Y15" s="2" t="s">
        <v>588</v>
      </c>
      <c r="Z15" s="2" t="s">
        <v>728</v>
      </c>
      <c r="AA15" s="2" t="s">
        <v>1632</v>
      </c>
      <c r="AB15" s="2" t="s">
        <v>42</v>
      </c>
      <c r="AC15" s="2" t="b">
        <f t="shared" si="3"/>
        <v>1</v>
      </c>
    </row>
    <row r="16" spans="1:29" ht="30" customHeight="1">
      <c r="A16" s="2" t="s">
        <v>208</v>
      </c>
      <c r="B16" s="2" t="s">
        <v>211</v>
      </c>
      <c r="C16" s="2" t="s">
        <v>1588</v>
      </c>
      <c r="D16" s="2" t="s">
        <v>595</v>
      </c>
      <c r="E16" s="2">
        <v>7.9</v>
      </c>
      <c r="F16" s="2">
        <v>8.5</v>
      </c>
      <c r="G16" s="2">
        <v>6.9</v>
      </c>
      <c r="H16" s="2"/>
      <c r="I16" s="2"/>
      <c r="J16" s="2"/>
      <c r="K16" s="2"/>
      <c r="L16" s="2"/>
      <c r="M16" s="2"/>
      <c r="N16" s="2"/>
      <c r="O16" s="2">
        <f t="shared" si="0"/>
        <v>4</v>
      </c>
      <c r="P16" s="2">
        <f t="shared" si="1"/>
        <v>5</v>
      </c>
      <c r="Q16" s="2">
        <f t="shared" si="2"/>
        <v>4</v>
      </c>
      <c r="R16" s="2">
        <v>329.3</v>
      </c>
      <c r="S16" s="2">
        <v>6</v>
      </c>
      <c r="T16" s="2" t="s">
        <v>496</v>
      </c>
      <c r="U16" s="2" t="s">
        <v>513</v>
      </c>
      <c r="V16" s="2" t="s">
        <v>555</v>
      </c>
      <c r="W16" s="2" t="s">
        <v>567</v>
      </c>
      <c r="X16" s="2" t="s">
        <v>567</v>
      </c>
      <c r="Y16" s="2" t="s">
        <v>597</v>
      </c>
      <c r="Z16" s="2" t="s">
        <v>737</v>
      </c>
      <c r="AA16" s="2" t="s">
        <v>1633</v>
      </c>
      <c r="AB16" s="2" t="s">
        <v>42</v>
      </c>
      <c r="AC16" s="2" t="b">
        <f t="shared" si="3"/>
        <v>1</v>
      </c>
    </row>
    <row r="17" spans="1:29" ht="30" customHeight="1">
      <c r="A17" s="2" t="s">
        <v>110</v>
      </c>
      <c r="B17" s="2" t="s">
        <v>113</v>
      </c>
      <c r="C17" s="2" t="s">
        <v>1590</v>
      </c>
      <c r="D17" s="2" t="s">
        <v>727</v>
      </c>
      <c r="E17" s="2"/>
      <c r="F17" s="2"/>
      <c r="G17" s="2"/>
      <c r="H17" s="2"/>
      <c r="I17" s="2"/>
      <c r="J17" s="2"/>
      <c r="K17" s="2"/>
      <c r="L17" s="2" t="s">
        <v>588</v>
      </c>
      <c r="M17" s="2" t="s">
        <v>748</v>
      </c>
      <c r="N17" s="2" t="s">
        <v>588</v>
      </c>
      <c r="O17" s="2">
        <f t="shared" si="0"/>
        <v>3</v>
      </c>
      <c r="P17" s="2">
        <f t="shared" si="1"/>
        <v>5</v>
      </c>
      <c r="Q17" s="2">
        <f t="shared" si="2"/>
        <v>3</v>
      </c>
      <c r="R17" s="2">
        <v>296</v>
      </c>
      <c r="S17" s="2">
        <v>10.1</v>
      </c>
      <c r="T17" s="2" t="s">
        <v>542</v>
      </c>
      <c r="U17" s="2" t="s">
        <v>1618</v>
      </c>
      <c r="V17" s="2" t="s">
        <v>555</v>
      </c>
      <c r="W17" s="2" t="s">
        <v>567</v>
      </c>
      <c r="X17" s="2" t="s">
        <v>567</v>
      </c>
      <c r="Y17" s="2" t="s">
        <v>588</v>
      </c>
      <c r="Z17" s="2" t="s">
        <v>746</v>
      </c>
      <c r="AA17" s="2" t="s">
        <v>1634</v>
      </c>
      <c r="AB17" s="2" t="s">
        <v>42</v>
      </c>
      <c r="AC17" s="2" t="b">
        <f t="shared" si="3"/>
        <v>1</v>
      </c>
    </row>
    <row r="18" spans="1:29" ht="30" customHeight="1">
      <c r="A18" s="2" t="s">
        <v>324</v>
      </c>
      <c r="B18" s="2" t="s">
        <v>326</v>
      </c>
      <c r="C18" s="2" t="s">
        <v>1588</v>
      </c>
      <c r="D18" s="2" t="s">
        <v>595</v>
      </c>
      <c r="E18" s="2">
        <v>7.2</v>
      </c>
      <c r="F18" s="2">
        <v>8.9</v>
      </c>
      <c r="G18" s="2">
        <v>5.9</v>
      </c>
      <c r="H18" s="2"/>
      <c r="I18" s="2"/>
      <c r="J18" s="2"/>
      <c r="K18" s="2"/>
      <c r="L18" s="2"/>
      <c r="M18" s="2"/>
      <c r="N18" s="2"/>
      <c r="O18" s="2">
        <f t="shared" si="0"/>
        <v>4</v>
      </c>
      <c r="P18" s="2">
        <f t="shared" si="1"/>
        <v>5</v>
      </c>
      <c r="Q18" s="2">
        <f t="shared" si="2"/>
        <v>3</v>
      </c>
      <c r="R18" s="2">
        <v>294.5</v>
      </c>
      <c r="S18" s="2">
        <v>6.7</v>
      </c>
      <c r="T18" s="2" t="s">
        <v>542</v>
      </c>
      <c r="U18" s="2" t="s">
        <v>1635</v>
      </c>
      <c r="V18" s="2" t="s">
        <v>555</v>
      </c>
      <c r="W18" s="2" t="s">
        <v>567</v>
      </c>
      <c r="X18" s="2" t="s">
        <v>567</v>
      </c>
      <c r="Y18" s="2" t="s">
        <v>597</v>
      </c>
      <c r="Z18" s="2" t="s">
        <v>756</v>
      </c>
      <c r="AA18" s="2" t="s">
        <v>1636</v>
      </c>
      <c r="AB18" s="2" t="s">
        <v>42</v>
      </c>
      <c r="AC18" s="2" t="b">
        <f t="shared" si="3"/>
        <v>1</v>
      </c>
    </row>
    <row r="19" spans="1:29" ht="30" customHeight="1">
      <c r="A19" s="2" t="s">
        <v>302</v>
      </c>
      <c r="B19" s="2" t="s">
        <v>304</v>
      </c>
      <c r="C19" s="2" t="s">
        <v>1588</v>
      </c>
      <c r="D19" s="2" t="s">
        <v>595</v>
      </c>
      <c r="E19" s="2">
        <v>7.7</v>
      </c>
      <c r="F19" s="2">
        <v>6.3</v>
      </c>
      <c r="G19" s="2">
        <v>7.6</v>
      </c>
      <c r="H19" s="2"/>
      <c r="I19" s="2"/>
      <c r="J19" s="2"/>
      <c r="K19" s="2"/>
      <c r="L19" s="2"/>
      <c r="M19" s="2"/>
      <c r="N19" s="2"/>
      <c r="O19" s="2">
        <f t="shared" si="0"/>
        <v>4</v>
      </c>
      <c r="P19" s="2">
        <f t="shared" si="1"/>
        <v>4</v>
      </c>
      <c r="Q19" s="2">
        <f t="shared" si="2"/>
        <v>4</v>
      </c>
      <c r="R19" s="2">
        <v>199.5</v>
      </c>
      <c r="S19" s="2">
        <v>6.9</v>
      </c>
      <c r="T19" s="2" t="s">
        <v>503</v>
      </c>
      <c r="U19" s="2" t="s">
        <v>513</v>
      </c>
      <c r="V19" s="2" t="s">
        <v>621</v>
      </c>
      <c r="W19" s="2" t="s">
        <v>1637</v>
      </c>
      <c r="X19" s="2" t="s">
        <v>1638</v>
      </c>
      <c r="Y19" s="2" t="s">
        <v>597</v>
      </c>
      <c r="Z19" s="2" t="s">
        <v>765</v>
      </c>
      <c r="AA19" s="2" t="s">
        <v>1639</v>
      </c>
      <c r="AB19" s="2" t="s">
        <v>42</v>
      </c>
      <c r="AC19" s="2" t="b">
        <f t="shared" si="3"/>
        <v>1</v>
      </c>
    </row>
    <row r="20" spans="1:29" ht="30" customHeight="1">
      <c r="A20" s="2" t="s">
        <v>290</v>
      </c>
      <c r="B20" s="2" t="s">
        <v>291</v>
      </c>
      <c r="C20" s="2" t="s">
        <v>1588</v>
      </c>
      <c r="D20" s="2" t="s">
        <v>707</v>
      </c>
      <c r="E20" s="2">
        <v>9.4</v>
      </c>
      <c r="F20" s="2">
        <v>6.4</v>
      </c>
      <c r="G20" s="2"/>
      <c r="H20" s="2">
        <v>7.8</v>
      </c>
      <c r="I20" s="2">
        <v>6.4</v>
      </c>
      <c r="J20" s="2">
        <v>7.6</v>
      </c>
      <c r="K20" s="2"/>
      <c r="L20" s="2"/>
      <c r="M20" s="2"/>
      <c r="N20" s="2"/>
      <c r="O20" s="2">
        <f t="shared" si="0"/>
        <v>5</v>
      </c>
      <c r="P20" s="2">
        <f t="shared" si="1"/>
        <v>4</v>
      </c>
      <c r="Q20" s="2">
        <f t="shared" si="2"/>
        <v>4</v>
      </c>
      <c r="R20" s="2">
        <v>232.6</v>
      </c>
      <c r="S20" s="2">
        <v>7.1</v>
      </c>
      <c r="T20" s="2" t="s">
        <v>542</v>
      </c>
      <c r="U20" s="2" t="s">
        <v>513</v>
      </c>
      <c r="V20" s="2" t="s">
        <v>621</v>
      </c>
      <c r="W20" s="2" t="s">
        <v>567</v>
      </c>
      <c r="X20" s="2" t="s">
        <v>567</v>
      </c>
      <c r="Y20" s="2" t="s">
        <v>588</v>
      </c>
      <c r="Z20" s="2" t="s">
        <v>774</v>
      </c>
      <c r="AA20" s="2" t="s">
        <v>1640</v>
      </c>
      <c r="AB20" s="2" t="s">
        <v>42</v>
      </c>
      <c r="AC20" s="2" t="b">
        <f t="shared" si="3"/>
        <v>1</v>
      </c>
    </row>
    <row r="21" spans="1:29" ht="30" customHeight="1">
      <c r="A21" s="2" t="s">
        <v>76</v>
      </c>
      <c r="B21" s="2" t="s">
        <v>81</v>
      </c>
      <c r="C21" s="2" t="s">
        <v>1588</v>
      </c>
      <c r="D21" s="2" t="s">
        <v>595</v>
      </c>
      <c r="E21" s="2">
        <v>6</v>
      </c>
      <c r="F21" s="2">
        <v>7.9</v>
      </c>
      <c r="G21" s="2">
        <v>5.4</v>
      </c>
      <c r="H21" s="2"/>
      <c r="I21" s="2"/>
      <c r="J21" s="2"/>
      <c r="K21" s="2"/>
      <c r="L21" s="2"/>
      <c r="M21" s="2"/>
      <c r="N21" s="2"/>
      <c r="O21" s="2">
        <f t="shared" si="0"/>
        <v>3</v>
      </c>
      <c r="P21" s="2">
        <f t="shared" si="1"/>
        <v>4</v>
      </c>
      <c r="Q21" s="2">
        <f t="shared" si="2"/>
        <v>3</v>
      </c>
      <c r="R21" s="2">
        <v>282.60000000000002</v>
      </c>
      <c r="S21" s="2">
        <v>10.7</v>
      </c>
      <c r="T21" s="2" t="s">
        <v>542</v>
      </c>
      <c r="U21" s="2" t="s">
        <v>1618</v>
      </c>
      <c r="V21" s="2" t="s">
        <v>555</v>
      </c>
      <c r="W21" s="2" t="s">
        <v>567</v>
      </c>
      <c r="X21" s="2" t="s">
        <v>567</v>
      </c>
      <c r="Y21" s="2" t="s">
        <v>597</v>
      </c>
      <c r="Z21" s="2" t="s">
        <v>784</v>
      </c>
      <c r="AA21" s="2" t="s">
        <v>1641</v>
      </c>
      <c r="AB21" s="2" t="s">
        <v>42</v>
      </c>
      <c r="AC21" s="2" t="b">
        <f t="shared" si="3"/>
        <v>1</v>
      </c>
    </row>
    <row r="22" spans="1:29" ht="30" customHeight="1">
      <c r="A22" s="2" t="s">
        <v>329</v>
      </c>
      <c r="B22" s="2" t="s">
        <v>331</v>
      </c>
      <c r="C22" s="2" t="s">
        <v>1588</v>
      </c>
      <c r="D22" s="2" t="s">
        <v>595</v>
      </c>
      <c r="E22" s="2">
        <v>6.9</v>
      </c>
      <c r="F22" s="2">
        <v>8</v>
      </c>
      <c r="G22" s="2">
        <v>7.3</v>
      </c>
      <c r="H22" s="2"/>
      <c r="I22" s="2"/>
      <c r="J22" s="2"/>
      <c r="K22" s="2"/>
      <c r="L22" s="2"/>
      <c r="M22" s="2"/>
      <c r="N22" s="2"/>
      <c r="O22" s="2">
        <f t="shared" si="0"/>
        <v>4</v>
      </c>
      <c r="P22" s="2">
        <f t="shared" si="1"/>
        <v>4</v>
      </c>
      <c r="Q22" s="2">
        <f t="shared" si="2"/>
        <v>4</v>
      </c>
      <c r="R22" s="2">
        <v>239.2</v>
      </c>
      <c r="S22" s="2">
        <v>8.4</v>
      </c>
      <c r="T22" s="2" t="s">
        <v>799</v>
      </c>
      <c r="U22" s="2" t="s">
        <v>1618</v>
      </c>
      <c r="V22" s="2" t="s">
        <v>555</v>
      </c>
      <c r="W22" s="2" t="s">
        <v>1637</v>
      </c>
      <c r="X22" s="2" t="s">
        <v>567</v>
      </c>
      <c r="Y22" s="2" t="s">
        <v>597</v>
      </c>
      <c r="Z22" s="2" t="s">
        <v>793</v>
      </c>
      <c r="AA22" s="2" t="s">
        <v>1642</v>
      </c>
      <c r="AB22" s="2" t="s">
        <v>42</v>
      </c>
      <c r="AC22" s="2" t="b">
        <f t="shared" si="3"/>
        <v>1</v>
      </c>
    </row>
    <row r="23" spans="1:29" ht="30" customHeight="1">
      <c r="A23" s="2" t="s">
        <v>173</v>
      </c>
      <c r="B23" s="2" t="s">
        <v>175</v>
      </c>
      <c r="C23" s="2" t="s">
        <v>1588</v>
      </c>
      <c r="D23" s="2" t="s">
        <v>707</v>
      </c>
      <c r="E23" s="2">
        <v>8</v>
      </c>
      <c r="F23" s="2">
        <v>6.6</v>
      </c>
      <c r="G23" s="2"/>
      <c r="H23" s="2">
        <v>7</v>
      </c>
      <c r="I23" s="2">
        <v>7</v>
      </c>
      <c r="J23" s="2">
        <v>6.7</v>
      </c>
      <c r="K23" s="2"/>
      <c r="L23" s="2"/>
      <c r="M23" s="2"/>
      <c r="N23" s="2"/>
      <c r="O23" s="2">
        <f t="shared" si="0"/>
        <v>4</v>
      </c>
      <c r="P23" s="2">
        <f t="shared" si="1"/>
        <v>4</v>
      </c>
      <c r="Q23" s="2">
        <f t="shared" si="2"/>
        <v>4</v>
      </c>
      <c r="R23" s="2">
        <v>220</v>
      </c>
      <c r="S23" s="2">
        <v>6.7</v>
      </c>
      <c r="T23" s="2" t="s">
        <v>496</v>
      </c>
      <c r="U23" s="2" t="s">
        <v>1618</v>
      </c>
      <c r="V23" s="2" t="s">
        <v>621</v>
      </c>
      <c r="W23" s="2" t="s">
        <v>567</v>
      </c>
      <c r="X23" s="2" t="s">
        <v>567</v>
      </c>
      <c r="Y23" s="2" t="s">
        <v>588</v>
      </c>
      <c r="Z23" s="2" t="s">
        <v>803</v>
      </c>
      <c r="AA23" s="2" t="s">
        <v>1643</v>
      </c>
      <c r="AB23" s="2" t="s">
        <v>42</v>
      </c>
      <c r="AC23" s="2" t="b">
        <f t="shared" si="3"/>
        <v>1</v>
      </c>
    </row>
    <row r="24" spans="1:29" ht="30" customHeight="1">
      <c r="A24" s="2" t="s">
        <v>164</v>
      </c>
      <c r="B24" s="2" t="s">
        <v>168</v>
      </c>
      <c r="C24" s="2" t="s">
        <v>1590</v>
      </c>
      <c r="D24" s="2" t="s">
        <v>727</v>
      </c>
      <c r="E24" s="2"/>
      <c r="F24" s="2"/>
      <c r="G24" s="2"/>
      <c r="H24" s="2"/>
      <c r="I24" s="2"/>
      <c r="J24" s="2"/>
      <c r="K24" s="2"/>
      <c r="L24" s="2" t="s">
        <v>597</v>
      </c>
      <c r="M24" s="2" t="s">
        <v>635</v>
      </c>
      <c r="N24" s="2" t="s">
        <v>588</v>
      </c>
      <c r="O24" s="2">
        <f t="shared" si="0"/>
        <v>4</v>
      </c>
      <c r="P24" s="2">
        <f t="shared" si="1"/>
        <v>2</v>
      </c>
      <c r="Q24" s="2">
        <f t="shared" si="2"/>
        <v>3</v>
      </c>
      <c r="R24" s="2">
        <v>245</v>
      </c>
      <c r="S24" s="2">
        <v>8.1999999999999993</v>
      </c>
      <c r="T24" s="2" t="s">
        <v>542</v>
      </c>
      <c r="U24" s="2" t="s">
        <v>1618</v>
      </c>
      <c r="V24" s="2" t="s">
        <v>555</v>
      </c>
      <c r="W24" s="2" t="s">
        <v>567</v>
      </c>
      <c r="X24" s="2" t="s">
        <v>567</v>
      </c>
      <c r="Y24" s="2" t="s">
        <v>588</v>
      </c>
      <c r="Z24" s="2" t="s">
        <v>813</v>
      </c>
      <c r="AA24" s="2" t="s">
        <v>1644</v>
      </c>
      <c r="AB24" s="2" t="s">
        <v>42</v>
      </c>
      <c r="AC24" s="2" t="b">
        <f t="shared" si="3"/>
        <v>1</v>
      </c>
    </row>
    <row r="25" spans="1:29" ht="30" customHeight="1">
      <c r="A25" s="2" t="s">
        <v>292</v>
      </c>
      <c r="B25" s="2" t="s">
        <v>296</v>
      </c>
      <c r="C25" s="2" t="s">
        <v>1588</v>
      </c>
      <c r="D25" s="2" t="s">
        <v>707</v>
      </c>
      <c r="E25" s="2">
        <v>8.3000000000000007</v>
      </c>
      <c r="F25" s="2">
        <v>5.5</v>
      </c>
      <c r="G25" s="2"/>
      <c r="H25" s="2">
        <v>7.8</v>
      </c>
      <c r="I25" s="2">
        <v>7.9</v>
      </c>
      <c r="J25" s="2">
        <v>7.7</v>
      </c>
      <c r="K25" s="2"/>
      <c r="L25" s="2"/>
      <c r="M25" s="2"/>
      <c r="N25" s="2"/>
      <c r="O25" s="2">
        <f t="shared" si="0"/>
        <v>5</v>
      </c>
      <c r="P25" s="2">
        <f t="shared" si="1"/>
        <v>3</v>
      </c>
      <c r="Q25" s="2">
        <f t="shared" si="2"/>
        <v>4</v>
      </c>
      <c r="R25" s="2">
        <v>157.30000000000001</v>
      </c>
      <c r="S25" s="2">
        <v>4.7</v>
      </c>
      <c r="T25" s="2" t="s">
        <v>503</v>
      </c>
      <c r="U25" s="2" t="s">
        <v>513</v>
      </c>
      <c r="V25" s="2" t="s">
        <v>621</v>
      </c>
      <c r="W25" s="2" t="s">
        <v>508</v>
      </c>
      <c r="X25" s="2" t="s">
        <v>490</v>
      </c>
      <c r="Y25" s="2" t="s">
        <v>588</v>
      </c>
      <c r="Z25" s="2" t="s">
        <v>822</v>
      </c>
      <c r="AA25" s="2" t="s">
        <v>1645</v>
      </c>
      <c r="AB25" s="2" t="s">
        <v>42</v>
      </c>
      <c r="AC25" s="2" t="b">
        <f t="shared" si="3"/>
        <v>1</v>
      </c>
    </row>
    <row r="26" spans="1:29" ht="30" customHeight="1">
      <c r="A26" s="2" t="s">
        <v>360</v>
      </c>
      <c r="B26" s="2" t="s">
        <v>362</v>
      </c>
      <c r="C26" s="2" t="s">
        <v>1588</v>
      </c>
      <c r="D26" s="2" t="s">
        <v>613</v>
      </c>
      <c r="E26" s="2">
        <v>8.9</v>
      </c>
      <c r="F26" s="2">
        <v>7.1</v>
      </c>
      <c r="G26" s="2"/>
      <c r="H26" s="2"/>
      <c r="I26" s="2"/>
      <c r="J26" s="2"/>
      <c r="K26" s="2">
        <v>7.2</v>
      </c>
      <c r="L26" s="2"/>
      <c r="M26" s="2"/>
      <c r="N26" s="2"/>
      <c r="O26" s="2">
        <f t="shared" si="0"/>
        <v>5</v>
      </c>
      <c r="P26" s="2">
        <f t="shared" si="1"/>
        <v>4</v>
      </c>
      <c r="Q26" s="2">
        <f t="shared" si="2"/>
        <v>4</v>
      </c>
      <c r="R26" s="2">
        <v>243.9</v>
      </c>
      <c r="S26" s="2">
        <v>5.4</v>
      </c>
      <c r="T26" s="2" t="s">
        <v>496</v>
      </c>
      <c r="U26" s="2" t="s">
        <v>1618</v>
      </c>
      <c r="V26" s="2" t="s">
        <v>621</v>
      </c>
      <c r="W26" s="2" t="s">
        <v>1637</v>
      </c>
      <c r="X26" s="2" t="s">
        <v>1638</v>
      </c>
      <c r="Y26" s="2" t="s">
        <v>588</v>
      </c>
      <c r="Z26" s="2" t="s">
        <v>832</v>
      </c>
      <c r="AA26" s="2" t="s">
        <v>1646</v>
      </c>
      <c r="AB26" s="2" t="s">
        <v>42</v>
      </c>
      <c r="AC26" s="2" t="b">
        <f t="shared" si="3"/>
        <v>1</v>
      </c>
    </row>
    <row r="27" spans="1:29" ht="30" customHeight="1">
      <c r="A27" s="2" t="s">
        <v>214</v>
      </c>
      <c r="B27" s="2" t="s">
        <v>218</v>
      </c>
      <c r="C27" s="2" t="s">
        <v>1588</v>
      </c>
      <c r="D27" s="2" t="s">
        <v>595</v>
      </c>
      <c r="E27" s="2">
        <v>7.6</v>
      </c>
      <c r="F27" s="2">
        <v>5.4</v>
      </c>
      <c r="G27" s="2">
        <v>8.1999999999999993</v>
      </c>
      <c r="H27" s="2"/>
      <c r="I27" s="2"/>
      <c r="J27" s="2"/>
      <c r="K27" s="2"/>
      <c r="L27" s="2"/>
      <c r="M27" s="2"/>
      <c r="N27" s="2"/>
      <c r="O27" s="2">
        <f t="shared" si="0"/>
        <v>4</v>
      </c>
      <c r="P27" s="2">
        <f t="shared" si="1"/>
        <v>3</v>
      </c>
      <c r="Q27" s="2">
        <f t="shared" si="2"/>
        <v>5</v>
      </c>
      <c r="R27" s="2">
        <v>200.5</v>
      </c>
      <c r="S27" s="2">
        <v>8.9</v>
      </c>
      <c r="T27" s="2" t="s">
        <v>503</v>
      </c>
      <c r="U27" s="2" t="s">
        <v>513</v>
      </c>
      <c r="V27" s="2" t="s">
        <v>555</v>
      </c>
      <c r="W27" s="2" t="s">
        <v>508</v>
      </c>
      <c r="X27" s="2" t="s">
        <v>490</v>
      </c>
      <c r="Y27" s="2" t="s">
        <v>597</v>
      </c>
      <c r="Z27" s="2" t="s">
        <v>841</v>
      </c>
      <c r="AA27" s="2" t="s">
        <v>1647</v>
      </c>
      <c r="AB27" s="2" t="s">
        <v>42</v>
      </c>
      <c r="AC27" s="2" t="b">
        <f t="shared" si="3"/>
        <v>1</v>
      </c>
    </row>
    <row r="28" spans="1:29" ht="30" customHeight="1">
      <c r="A28" s="2" t="s">
        <v>392</v>
      </c>
      <c r="B28" s="2" t="s">
        <v>394</v>
      </c>
      <c r="C28" s="2" t="s">
        <v>1588</v>
      </c>
      <c r="D28" s="2" t="s">
        <v>613</v>
      </c>
      <c r="E28" s="2">
        <v>6.5</v>
      </c>
      <c r="F28" s="2">
        <v>7.9</v>
      </c>
      <c r="G28" s="2"/>
      <c r="H28" s="2"/>
      <c r="I28" s="2"/>
      <c r="J28" s="2"/>
      <c r="K28" s="2">
        <v>7.4</v>
      </c>
      <c r="L28" s="2"/>
      <c r="M28" s="2"/>
      <c r="N28" s="2"/>
      <c r="O28" s="2">
        <f t="shared" si="0"/>
        <v>4</v>
      </c>
      <c r="P28" s="2">
        <f t="shared" si="1"/>
        <v>4</v>
      </c>
      <c r="Q28" s="2">
        <f t="shared" si="2"/>
        <v>4</v>
      </c>
      <c r="R28" s="2">
        <v>244.4</v>
      </c>
      <c r="S28" s="2">
        <v>7</v>
      </c>
      <c r="T28" s="2" t="s">
        <v>503</v>
      </c>
      <c r="U28" s="2" t="s">
        <v>513</v>
      </c>
      <c r="V28" s="2" t="s">
        <v>555</v>
      </c>
      <c r="W28" s="2" t="s">
        <v>1637</v>
      </c>
      <c r="X28" s="2" t="s">
        <v>567</v>
      </c>
      <c r="Y28" s="2" t="s">
        <v>588</v>
      </c>
      <c r="Z28" s="2" t="s">
        <v>850</v>
      </c>
      <c r="AA28" s="2" t="s">
        <v>1648</v>
      </c>
      <c r="AB28" s="2" t="s">
        <v>42</v>
      </c>
      <c r="AC28" s="2" t="b">
        <f t="shared" si="3"/>
        <v>1</v>
      </c>
    </row>
    <row r="29" spans="1:29" ht="30" customHeight="1">
      <c r="A29" s="2" t="s">
        <v>397</v>
      </c>
      <c r="B29" s="2" t="s">
        <v>399</v>
      </c>
      <c r="C29" s="2" t="s">
        <v>1588</v>
      </c>
      <c r="D29" s="2" t="s">
        <v>707</v>
      </c>
      <c r="E29" s="2">
        <v>8.4</v>
      </c>
      <c r="F29" s="2">
        <v>4.3</v>
      </c>
      <c r="G29" s="2"/>
      <c r="H29" s="2">
        <v>7.8</v>
      </c>
      <c r="I29" s="2">
        <v>7.6</v>
      </c>
      <c r="J29" s="2">
        <v>8.3000000000000007</v>
      </c>
      <c r="K29" s="2"/>
      <c r="L29" s="2"/>
      <c r="M29" s="2"/>
      <c r="N29" s="2"/>
      <c r="O29" s="2">
        <f t="shared" si="0"/>
        <v>5</v>
      </c>
      <c r="P29" s="2">
        <f t="shared" si="1"/>
        <v>3</v>
      </c>
      <c r="Q29" s="2">
        <f t="shared" si="2"/>
        <v>4</v>
      </c>
      <c r="R29" s="2">
        <v>173.3</v>
      </c>
      <c r="S29" s="2">
        <v>8.9</v>
      </c>
      <c r="T29" s="2" t="s">
        <v>503</v>
      </c>
      <c r="U29" s="2" t="s">
        <v>513</v>
      </c>
      <c r="V29" s="2" t="s">
        <v>621</v>
      </c>
      <c r="W29" s="2" t="s">
        <v>508</v>
      </c>
      <c r="X29" s="2" t="s">
        <v>490</v>
      </c>
      <c r="Y29" s="2" t="s">
        <v>588</v>
      </c>
      <c r="Z29" s="2" t="s">
        <v>859</v>
      </c>
      <c r="AA29" s="2" t="s">
        <v>1649</v>
      </c>
      <c r="AB29" s="2" t="s">
        <v>42</v>
      </c>
      <c r="AC29" s="2" t="b">
        <f t="shared" si="3"/>
        <v>1</v>
      </c>
    </row>
    <row r="30" spans="1:29" ht="30" customHeight="1">
      <c r="A30" s="2" t="s">
        <v>335</v>
      </c>
      <c r="B30" s="2" t="s">
        <v>337</v>
      </c>
      <c r="C30" s="2" t="s">
        <v>1588</v>
      </c>
      <c r="D30" s="2" t="s">
        <v>595</v>
      </c>
      <c r="E30" s="2">
        <v>7.3</v>
      </c>
      <c r="F30" s="2">
        <v>7.7</v>
      </c>
      <c r="G30" s="2">
        <v>8.1999999999999993</v>
      </c>
      <c r="H30" s="2"/>
      <c r="I30" s="2"/>
      <c r="J30" s="2"/>
      <c r="K30" s="2"/>
      <c r="L30" s="2"/>
      <c r="M30" s="2"/>
      <c r="N30" s="2"/>
      <c r="O30" s="2">
        <f t="shared" si="0"/>
        <v>4</v>
      </c>
      <c r="P30" s="2">
        <f t="shared" si="1"/>
        <v>4</v>
      </c>
      <c r="Q30" s="2">
        <f t="shared" si="2"/>
        <v>5</v>
      </c>
      <c r="R30" s="2">
        <v>212.4</v>
      </c>
      <c r="S30" s="2">
        <v>10.1</v>
      </c>
      <c r="T30" s="2" t="s">
        <v>503</v>
      </c>
      <c r="U30" s="2" t="s">
        <v>1618</v>
      </c>
      <c r="V30" s="2" t="s">
        <v>621</v>
      </c>
      <c r="W30" s="2" t="s">
        <v>508</v>
      </c>
      <c r="X30" s="2" t="s">
        <v>490</v>
      </c>
      <c r="Y30" s="2" t="s">
        <v>597</v>
      </c>
      <c r="Z30" s="2" t="s">
        <v>869</v>
      </c>
      <c r="AA30" s="2" t="s">
        <v>1650</v>
      </c>
      <c r="AB30" s="2" t="s">
        <v>42</v>
      </c>
      <c r="AC30" s="2" t="b">
        <f t="shared" si="3"/>
        <v>1</v>
      </c>
    </row>
    <row r="31" spans="1:29" ht="30" customHeight="1">
      <c r="A31" s="2" t="s">
        <v>176</v>
      </c>
      <c r="B31" s="2" t="s">
        <v>179</v>
      </c>
      <c r="C31" s="2" t="s">
        <v>1588</v>
      </c>
      <c r="D31" s="2" t="s">
        <v>595</v>
      </c>
      <c r="E31" s="2">
        <v>8</v>
      </c>
      <c r="F31" s="2">
        <v>5.5</v>
      </c>
      <c r="G31" s="2">
        <v>8.4</v>
      </c>
      <c r="H31" s="2"/>
      <c r="I31" s="2"/>
      <c r="J31" s="2"/>
      <c r="K31" s="2"/>
      <c r="L31" s="2"/>
      <c r="M31" s="2"/>
      <c r="N31" s="2"/>
      <c r="O31" s="2">
        <f t="shared" si="0"/>
        <v>4</v>
      </c>
      <c r="P31" s="2">
        <f t="shared" si="1"/>
        <v>3</v>
      </c>
      <c r="Q31" s="2">
        <f t="shared" si="2"/>
        <v>5</v>
      </c>
      <c r="R31" s="2">
        <v>197.5</v>
      </c>
      <c r="S31" s="2">
        <v>7</v>
      </c>
      <c r="T31" s="2" t="s">
        <v>503</v>
      </c>
      <c r="U31" s="2" t="s">
        <v>513</v>
      </c>
      <c r="V31" s="2" t="s">
        <v>621</v>
      </c>
      <c r="W31" s="2" t="s">
        <v>508</v>
      </c>
      <c r="X31" s="2" t="s">
        <v>490</v>
      </c>
      <c r="Y31" s="2" t="s">
        <v>597</v>
      </c>
      <c r="Z31" s="2" t="s">
        <v>878</v>
      </c>
      <c r="AA31" s="2" t="s">
        <v>1651</v>
      </c>
      <c r="AB31" s="2" t="s">
        <v>42</v>
      </c>
      <c r="AC31" s="2" t="b">
        <f t="shared" si="3"/>
        <v>1</v>
      </c>
    </row>
  </sheetData>
  <phoneticPr fontId="5" type="noConversion"/>
  <conditionalFormatting sqref="C2:C31">
    <cfRule type="expression" dxfId="4" priority="4">
      <formula>C2="A_RTINGS"</formula>
    </cfRule>
    <cfRule type="expression" dxfId="3" priority="5">
      <formula>C2="B_RUNREPEAT"</formula>
    </cfRule>
    <cfRule type="expression" dxfId="2" priority="6">
      <formula>C2="C_OFFICIAL_ONLY"</formula>
    </cfRule>
  </conditionalFormatting>
  <conditionalFormatting sqref="O2:Q31">
    <cfRule type="colorScale" priority="1">
      <colorScale>
        <cfvo type="min"/>
        <cfvo type="percentile" val="50"/>
        <cfvo type="max"/>
        <color rgb="FFFCE4D6"/>
        <color rgb="FFFFF2CC"/>
        <color rgb="FFE2F0D9"/>
      </colorScale>
    </cfRule>
  </conditionalFormatting>
  <conditionalFormatting sqref="AC2:AC31">
    <cfRule type="expression" dxfId="1" priority="2">
      <formula>AC2=TRUE</formula>
    </cfRule>
    <cfRule type="expression" dxfId="0" priority="3">
      <formula>AC2=FALSE</formula>
    </cfRule>
  </conditionalFormatting>
  <dataValidations count="3">
    <dataValidation type="list" sqref="V2:V31" xr:uid="{00000000-0002-0000-0600-000000000000}">
      <formula1>"TRUE,FALSE,UNKNOWN"</formula1>
    </dataValidation>
    <dataValidation type="list" sqref="T2:T31" xr:uid="{00000000-0002-0000-0600-000001000000}">
      <formula1>"NONE,NYLON,CARBON,OTHER,UNKNOWN"</formula1>
    </dataValidation>
    <dataValidation type="list" sqref="U2:U31" xr:uid="{00000000-0002-0000-0600-000002000000}">
      <formula1>"NARROW,STANDARD,WIDE,UNKNOWN"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
  <sheetViews>
    <sheetView workbookViewId="0"/>
  </sheetViews>
  <sheetFormatPr defaultRowHeight="14.25"/>
  <cols>
    <col min="1" max="1" width="24" customWidth="1"/>
    <col min="2" max="2" width="55" customWidth="1"/>
    <col min="4" max="8" width="18" customWidth="1"/>
  </cols>
  <sheetData>
    <row r="1" spans="1:8" ht="20.25">
      <c r="A1" s="15" t="s">
        <v>1652</v>
      </c>
      <c r="B1" s="15"/>
      <c r="C1" s="15"/>
      <c r="D1" s="15"/>
      <c r="E1" s="15"/>
      <c r="F1" s="15"/>
      <c r="G1" s="15"/>
      <c r="H1" s="15"/>
    </row>
    <row r="2" spans="1:8">
      <c r="A2" s="2"/>
      <c r="B2" s="2"/>
      <c r="C2" s="2"/>
      <c r="D2" s="2"/>
      <c r="E2" s="2"/>
      <c r="F2" s="2"/>
      <c r="G2" s="2"/>
      <c r="H2" s="2"/>
    </row>
    <row r="3" spans="1:8" ht="15">
      <c r="A3" s="7" t="s">
        <v>1</v>
      </c>
      <c r="B3" s="7" t="s">
        <v>1653</v>
      </c>
      <c r="C3" s="2"/>
      <c r="D3" s="16" t="s">
        <v>1654</v>
      </c>
      <c r="E3" s="16"/>
      <c r="F3" s="16"/>
      <c r="G3" s="16"/>
      <c r="H3" s="16"/>
    </row>
    <row r="4" spans="1:8">
      <c r="A4" s="2" t="s">
        <v>1655</v>
      </c>
      <c r="B4" s="2" t="s">
        <v>1656</v>
      </c>
      <c r="C4" s="2"/>
      <c r="D4" s="12" t="s">
        <v>1657</v>
      </c>
      <c r="E4" s="12"/>
      <c r="F4" s="12"/>
      <c r="G4" s="12"/>
      <c r="H4" s="12"/>
    </row>
    <row r="5" spans="1:8">
      <c r="A5" s="2" t="s">
        <v>1658</v>
      </c>
      <c r="B5" s="2" t="s">
        <v>1659</v>
      </c>
      <c r="C5" s="2"/>
      <c r="D5" s="12"/>
      <c r="E5" s="12"/>
      <c r="F5" s="12"/>
      <c r="G5" s="12"/>
      <c r="H5" s="12"/>
    </row>
    <row r="6" spans="1:8">
      <c r="A6" s="2" t="s">
        <v>1660</v>
      </c>
      <c r="B6" s="2" t="s">
        <v>1661</v>
      </c>
      <c r="C6" s="2"/>
      <c r="D6" s="12"/>
      <c r="E6" s="12"/>
      <c r="F6" s="12"/>
      <c r="G6" s="12"/>
      <c r="H6" s="12"/>
    </row>
    <row r="7" spans="1:8">
      <c r="A7" s="2" t="s">
        <v>1662</v>
      </c>
      <c r="B7" s="2" t="s">
        <v>1663</v>
      </c>
      <c r="C7" s="2"/>
      <c r="D7" s="12"/>
      <c r="E7" s="12"/>
      <c r="F7" s="12"/>
      <c r="G7" s="12"/>
      <c r="H7" s="12"/>
    </row>
    <row r="8" spans="1:8">
      <c r="A8" s="2" t="s">
        <v>1664</v>
      </c>
      <c r="B8" s="2" t="s">
        <v>1665</v>
      </c>
      <c r="C8" s="2"/>
      <c r="D8" s="12"/>
      <c r="E8" s="12"/>
      <c r="F8" s="12"/>
      <c r="G8" s="12"/>
      <c r="H8" s="12"/>
    </row>
    <row r="9" spans="1:8">
      <c r="A9" s="2" t="s">
        <v>1666</v>
      </c>
      <c r="B9" s="2" t="s">
        <v>1667</v>
      </c>
      <c r="C9" s="2"/>
      <c r="D9" s="12"/>
      <c r="E9" s="12"/>
      <c r="F9" s="12"/>
      <c r="G9" s="12"/>
      <c r="H9" s="12"/>
    </row>
    <row r="10" spans="1:8">
      <c r="A10" s="2" t="s">
        <v>1668</v>
      </c>
      <c r="B10" s="2" t="s">
        <v>1669</v>
      </c>
      <c r="C10" s="2"/>
      <c r="D10" s="12"/>
      <c r="E10" s="12"/>
      <c r="F10" s="12"/>
      <c r="G10" s="12"/>
      <c r="H10" s="12"/>
    </row>
    <row r="11" spans="1:8">
      <c r="A11" s="2" t="s">
        <v>1670</v>
      </c>
      <c r="B11" s="2" t="s">
        <v>1671</v>
      </c>
      <c r="C11" s="2"/>
      <c r="D11" s="2"/>
      <c r="E11" s="2"/>
      <c r="F11" s="2"/>
      <c r="G11" s="2"/>
      <c r="H11" s="2"/>
    </row>
    <row r="12" spans="1:8">
      <c r="A12" s="2" t="s">
        <v>1672</v>
      </c>
      <c r="B12" s="2" t="s">
        <v>1673</v>
      </c>
      <c r="C12" s="2"/>
      <c r="D12" s="2"/>
      <c r="E12" s="2"/>
      <c r="F12" s="2"/>
      <c r="G12" s="2"/>
      <c r="H12" s="2"/>
    </row>
    <row r="13" spans="1:8">
      <c r="A13" s="2" t="s">
        <v>1674</v>
      </c>
      <c r="B13" s="2" t="s">
        <v>1675</v>
      </c>
      <c r="C13" s="2"/>
      <c r="D13" s="2"/>
      <c r="E13" s="2"/>
      <c r="F13" s="2"/>
      <c r="G13" s="2"/>
      <c r="H13" s="2"/>
    </row>
    <row r="14" spans="1:8">
      <c r="A14" s="2"/>
      <c r="B14" s="2"/>
      <c r="C14" s="2"/>
      <c r="D14" s="2"/>
      <c r="E14" s="2"/>
      <c r="F14" s="2"/>
      <c r="G14" s="2"/>
      <c r="H14" s="2"/>
    </row>
    <row r="15" spans="1:8" ht="15">
      <c r="A15" s="7" t="s">
        <v>1676</v>
      </c>
      <c r="B15" s="7" t="s">
        <v>1677</v>
      </c>
      <c r="C15" s="2"/>
      <c r="D15" s="2"/>
      <c r="E15" s="2"/>
      <c r="F15" s="2"/>
      <c r="G15" s="2"/>
      <c r="H15" s="2"/>
    </row>
    <row r="16" spans="1:8" ht="28.5">
      <c r="A16" s="2" t="s">
        <v>1678</v>
      </c>
      <c r="B16" s="2" t="s">
        <v>1679</v>
      </c>
      <c r="C16" s="2"/>
      <c r="D16" s="2"/>
      <c r="E16" s="2"/>
      <c r="F16" s="2"/>
      <c r="G16" s="2"/>
      <c r="H16" s="2"/>
    </row>
    <row r="17" spans="1:8">
      <c r="A17" s="2" t="s">
        <v>1680</v>
      </c>
      <c r="B17" s="2" t="s">
        <v>1681</v>
      </c>
      <c r="C17" s="2"/>
      <c r="D17" s="2"/>
      <c r="E17" s="2"/>
      <c r="F17" s="2"/>
      <c r="G17" s="2"/>
      <c r="H17" s="2"/>
    </row>
    <row r="18" spans="1:8" ht="28.5">
      <c r="A18" s="2" t="s">
        <v>1682</v>
      </c>
      <c r="B18" s="2" t="s">
        <v>1683</v>
      </c>
      <c r="C18" s="2"/>
      <c r="D18" s="2"/>
      <c r="E18" s="2"/>
      <c r="F18" s="2"/>
      <c r="G18" s="2"/>
      <c r="H18" s="2"/>
    </row>
    <row r="19" spans="1:8" ht="28.5">
      <c r="A19" s="2" t="s">
        <v>1684</v>
      </c>
      <c r="B19" s="2" t="s">
        <v>1685</v>
      </c>
      <c r="C19" s="2"/>
      <c r="D19" s="2"/>
      <c r="E19" s="2"/>
      <c r="F19" s="2"/>
      <c r="G19" s="2"/>
      <c r="H19" s="2"/>
    </row>
    <row r="20" spans="1:8" ht="28.5">
      <c r="A20" s="2" t="s">
        <v>1686</v>
      </c>
      <c r="B20" s="2" t="s">
        <v>1687</v>
      </c>
      <c r="C20" s="2"/>
      <c r="D20" s="2"/>
      <c r="E20" s="2"/>
      <c r="F20" s="2"/>
      <c r="G20" s="2"/>
      <c r="H20" s="2"/>
    </row>
  </sheetData>
  <mergeCells count="3">
    <mergeCell ref="A1:H1"/>
    <mergeCell ref="D3:H3"/>
    <mergeCell ref="D4:H10"/>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00_사용안내</vt:lpstr>
      <vt:lpstr>01_Product_Master</vt:lpstr>
      <vt:lpstr>02_Recommendation_Attrs</vt:lpstr>
      <vt:lpstr>03_Product_Evidence</vt:lpstr>
      <vt:lpstr>04_Target30_Gaps</vt:lpstr>
      <vt:lpstr>99_Codebook</vt:lpstr>
      <vt:lpstr>05_v0.2_Benchmark</vt:lpstr>
      <vt:lpstr>06_v0.2_Release_Notes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chorock</dc:creator>
  <cp:lastModifiedBy>전 진우</cp:lastModifiedBy>
  <dcterms:created xsi:type="dcterms:W3CDTF">2026-08-28T05:26:07Z</dcterms:created>
  <dcterms:modified xsi:type="dcterms:W3CDTF">2026-09-10T06:39:27Z</dcterms:modified>
</cp:coreProperties>
</file>